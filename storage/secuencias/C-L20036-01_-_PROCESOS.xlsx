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eruvian Dress\MFH\TIEMPOS\"/>
    </mc:Choice>
  </mc:AlternateContent>
  <xr:revisionPtr revIDLastSave="0" documentId="13_ncr:1_{9C9B76BF-186B-4F90-B04E-739EC741DE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1" l="1"/>
  <c r="D28" i="1"/>
  <c r="D27" i="1"/>
  <c r="D26" i="1"/>
  <c r="D25" i="1"/>
  <c r="G23" i="1"/>
  <c r="C23" i="1"/>
</calcChain>
</file>

<file path=xl/sharedStrings.xml><?xml version="1.0" encoding="utf-8"?>
<sst xmlns="http://schemas.openxmlformats.org/spreadsheetml/2006/main" count="62" uniqueCount="36">
  <si>
    <r>
      <rPr>
        <b/>
        <sz val="10"/>
        <rFont val="Calibri"/>
        <family val="1"/>
      </rPr>
      <t>Nº</t>
    </r>
  </si>
  <si>
    <r>
      <rPr>
        <b/>
        <sz val="10"/>
        <rFont val="Calibri"/>
        <family val="1"/>
      </rPr>
      <t>CONFECCIÓN</t>
    </r>
  </si>
  <si>
    <r>
      <rPr>
        <b/>
        <sz val="10"/>
        <rFont val="Calibri"/>
        <family val="1"/>
      </rPr>
      <t>TIEMPO</t>
    </r>
  </si>
  <si>
    <r>
      <rPr>
        <b/>
        <sz val="10"/>
        <rFont val="Calibri"/>
        <family val="1"/>
      </rPr>
      <t>ACABADO</t>
    </r>
  </si>
  <si>
    <r>
      <rPr>
        <b/>
        <sz val="10"/>
        <rFont val="Calibri"/>
        <family val="1"/>
      </rPr>
      <t>ARMAR PRENDA</t>
    </r>
  </si>
  <si>
    <r>
      <rPr>
        <b/>
        <sz val="10"/>
        <rFont val="Calibri"/>
        <family val="1"/>
      </rPr>
      <t>ACABADO M.</t>
    </r>
  </si>
  <si>
    <r>
      <rPr>
        <sz val="10"/>
        <rFont val="Calibri"/>
        <family val="1"/>
      </rPr>
      <t>FIJAR VIVO A DELANTERO</t>
    </r>
  </si>
  <si>
    <r>
      <rPr>
        <sz val="10"/>
        <rFont val="Calibri"/>
        <family val="1"/>
      </rPr>
      <t>ACABADO HILOS</t>
    </r>
  </si>
  <si>
    <r>
      <rPr>
        <sz val="10"/>
        <rFont val="Calibri"/>
        <family val="1"/>
      </rPr>
      <t>EMBOLSAR BOLSILLO</t>
    </r>
  </si>
  <si>
    <r>
      <rPr>
        <sz val="10"/>
        <rFont val="Calibri"/>
        <family val="1"/>
      </rPr>
      <t>LIMPIEZA DE HILOS</t>
    </r>
  </si>
  <si>
    <r>
      <rPr>
        <sz val="10"/>
        <rFont val="Calibri"/>
        <family val="1"/>
      </rPr>
      <t>PESPUNTE BOCA DE BOLSILLO</t>
    </r>
  </si>
  <si>
    <r>
      <rPr>
        <sz val="10"/>
        <rFont val="Calibri"/>
        <family val="1"/>
      </rPr>
      <t>DESCONTAMINADO</t>
    </r>
  </si>
  <si>
    <r>
      <rPr>
        <sz val="10"/>
        <rFont val="Calibri"/>
        <family val="1"/>
      </rPr>
      <t>FIJAR FUNDAS</t>
    </r>
  </si>
  <si>
    <r>
      <rPr>
        <sz val="10"/>
        <rFont val="Calibri"/>
        <family val="1"/>
      </rPr>
      <t>CONTROL TECNICO</t>
    </r>
  </si>
  <si>
    <r>
      <rPr>
        <sz val="10"/>
        <rFont val="Calibri"/>
        <family val="1"/>
      </rPr>
      <t>RM DE FUNDAS</t>
    </r>
  </si>
  <si>
    <r>
      <rPr>
        <sz val="10"/>
        <rFont val="Calibri"/>
        <family val="1"/>
      </rPr>
      <t>LIMPIEZA PELON</t>
    </r>
  </si>
  <si>
    <r>
      <rPr>
        <sz val="10"/>
        <rFont val="Calibri"/>
        <family val="1"/>
      </rPr>
      <t>HILVANAR BOTA DE PIE</t>
    </r>
  </si>
  <si>
    <r>
      <rPr>
        <sz val="10"/>
        <rFont val="Calibri"/>
        <family val="1"/>
      </rPr>
      <t>RM TIRO DELANTERO</t>
    </r>
  </si>
  <si>
    <r>
      <rPr>
        <sz val="10"/>
        <rFont val="Calibri"/>
        <family val="1"/>
      </rPr>
      <t>RM TIRO ESPALDA</t>
    </r>
  </si>
  <si>
    <r>
      <rPr>
        <sz val="10"/>
        <rFont val="Calibri"/>
        <family val="1"/>
      </rPr>
      <t>RM COSTADOS</t>
    </r>
  </si>
  <si>
    <r>
      <rPr>
        <sz val="10"/>
        <rFont val="Calibri"/>
        <family val="1"/>
      </rPr>
      <t>RM ENTREPIERNA</t>
    </r>
  </si>
  <si>
    <r>
      <rPr>
        <sz val="10"/>
        <rFont val="Calibri"/>
        <family val="1"/>
      </rPr>
      <t>CR PEGAR BOTA PIE</t>
    </r>
  </si>
  <si>
    <r>
      <rPr>
        <sz val="10"/>
        <rFont val="Calibri"/>
        <family val="1"/>
      </rPr>
      <t>CR PESPUNTE BOTA PIE</t>
    </r>
  </si>
  <si>
    <r>
      <rPr>
        <sz val="10"/>
        <rFont val="Calibri"/>
        <family val="1"/>
      </rPr>
      <t>CR CERRAR BOTA PIE</t>
    </r>
  </si>
  <si>
    <r>
      <rPr>
        <b/>
        <sz val="10"/>
        <rFont val="Calibri"/>
        <family val="1"/>
      </rPr>
      <t>PRETINA CUERPO</t>
    </r>
  </si>
  <si>
    <r>
      <rPr>
        <sz val="10"/>
        <rFont val="Calibri"/>
        <family val="1"/>
      </rPr>
      <t>PREPARAR PRETINA</t>
    </r>
  </si>
  <si>
    <r>
      <rPr>
        <sz val="10"/>
        <rFont val="Calibri"/>
        <family val="1"/>
      </rPr>
      <t>HILVANAR PRETINA</t>
    </r>
  </si>
  <si>
    <r>
      <rPr>
        <sz val="10"/>
        <rFont val="Calibri"/>
        <family val="1"/>
      </rPr>
      <t>FIJAR ELASTICO A PRETINA</t>
    </r>
  </si>
  <si>
    <r>
      <rPr>
        <sz val="10"/>
        <rFont val="Calibri"/>
        <family val="1"/>
      </rPr>
      <t>RM PEGAR PRETINA A CUERPO</t>
    </r>
  </si>
  <si>
    <r>
      <rPr>
        <sz val="10"/>
        <rFont val="Calibri"/>
        <family val="1"/>
      </rPr>
      <t>RC PEGAR PRETINA A CUERPO</t>
    </r>
  </si>
  <si>
    <r>
      <rPr>
        <sz val="10"/>
        <rFont val="Calibri"/>
        <family val="1"/>
      </rPr>
      <t>SETUP</t>
    </r>
  </si>
  <si>
    <r>
      <rPr>
        <b/>
        <sz val="10"/>
        <rFont val="Calibri"/>
        <family val="1"/>
      </rPr>
      <t>TOTAL</t>
    </r>
  </si>
  <si>
    <t>CR</t>
  </si>
  <si>
    <t>RM</t>
  </si>
  <si>
    <t>MC</t>
  </si>
  <si>
    <t>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</si>
</sst>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0"/>
      <name val="Calibri"/>
    </font>
    <font>
      <sz val="10"/>
      <color rgb="FF000000"/>
      <name val="Calibri"/>
      <family val="2"/>
    </font>
    <font>
      <sz val="10"/>
      <name val="Calibri"/>
    </font>
    <font>
      <b/>
      <sz val="10"/>
      <name val="Calibri"/>
      <family val="1"/>
    </font>
    <font>
      <sz val="10"/>
      <name val="Calibri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1" fillId="0" borderId="2" xfId="0" applyFont="1" applyBorder="1" applyAlignment="1">
      <alignment horizontal="left" vertical="top" wrapText="1" indent="4"/>
    </xf>
    <xf numFmtId="0" fontId="0" fillId="0" borderId="3" xfId="0" applyBorder="1" applyAlignment="1">
      <alignment horizontal="left" wrapText="1"/>
    </xf>
    <xf numFmtId="0" fontId="1" fillId="0" borderId="2" xfId="0" applyFont="1" applyBorder="1" applyAlignment="1">
      <alignment horizontal="left" vertical="top" wrapText="1" indent="2"/>
    </xf>
    <xf numFmtId="1" fontId="2" fillId="0" borderId="4" xfId="0" applyNumberFormat="1" applyFont="1" applyBorder="1" applyAlignment="1">
      <alignment horizontal="center" vertical="top" shrinkToFit="1"/>
    </xf>
    <xf numFmtId="0" fontId="3" fillId="0" borderId="5" xfId="0" applyFont="1" applyBorder="1" applyAlignment="1">
      <alignment horizontal="left" vertical="top" wrapText="1"/>
    </xf>
    <xf numFmtId="2" fontId="2" fillId="0" borderId="6" xfId="0" applyNumberFormat="1" applyFont="1" applyBorder="1" applyAlignment="1">
      <alignment horizontal="center" vertical="top" shrinkToFit="1"/>
    </xf>
    <xf numFmtId="0" fontId="0" fillId="0" borderId="6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1" fillId="0" borderId="5" xfId="0" applyFont="1" applyBorder="1" applyAlignment="1">
      <alignment horizontal="left" vertical="top" wrapText="1" indent="4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left" vertical="top" wrapText="1" indent="5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left" vertical="top" wrapText="1" indent="3"/>
    </xf>
    <xf numFmtId="0" fontId="1" fillId="0" borderId="11" xfId="0" applyFont="1" applyBorder="1" applyAlignment="1">
      <alignment horizontal="center" vertical="top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1" fontId="2" fillId="0" borderId="14" xfId="0" applyNumberFormat="1" applyFont="1" applyBorder="1" applyAlignment="1">
      <alignment horizontal="center" vertical="top" shrinkToFit="1"/>
    </xf>
    <xf numFmtId="2" fontId="2" fillId="0" borderId="15" xfId="0" applyNumberFormat="1" applyFont="1" applyBorder="1" applyAlignment="1">
      <alignment horizontal="center" vertical="top" shrinkToFit="1"/>
    </xf>
    <xf numFmtId="0" fontId="0" fillId="0" borderId="15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5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6" xfId="0" applyBorder="1" applyAlignment="1">
      <alignment horizontal="left" wrapText="1"/>
    </xf>
    <xf numFmtId="0" fontId="1" fillId="0" borderId="17" xfId="0" applyFont="1" applyBorder="1" applyAlignment="1">
      <alignment horizontal="left" vertical="top" wrapText="1"/>
    </xf>
    <xf numFmtId="2" fontId="2" fillId="0" borderId="18" xfId="0" applyNumberFormat="1" applyFont="1" applyBorder="1" applyAlignment="1">
      <alignment horizontal="center" vertical="top" shrinkToFit="1"/>
    </xf>
    <xf numFmtId="0" fontId="0" fillId="0" borderId="19" xfId="0" applyBorder="1" applyAlignment="1">
      <alignment horizontal="left" wrapText="1"/>
    </xf>
    <xf numFmtId="2" fontId="2" fillId="0" borderId="20" xfId="0" applyNumberFormat="1" applyFont="1" applyBorder="1" applyAlignment="1">
      <alignment horizontal="center" vertical="top" shrinkToFit="1"/>
    </xf>
    <xf numFmtId="0" fontId="1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left" wrapText="1"/>
    </xf>
    <xf numFmtId="2" fontId="2" fillId="0" borderId="0" xfId="0" applyNumberFormat="1" applyFont="1" applyBorder="1" applyAlignment="1">
      <alignment horizontal="center" vertical="top" shrinkToFit="1"/>
    </xf>
    <xf numFmtId="0" fontId="0" fillId="0" borderId="0" xfId="0" applyBorder="1" applyAlignment="1">
      <alignment horizontal="left" vertical="center" wrapText="1"/>
    </xf>
    <xf numFmtId="2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H29" sqref="A1:H29"/>
    </sheetView>
  </sheetViews>
  <sheetFormatPr baseColWidth="10" defaultColWidth="8.88671875" defaultRowHeight="13.2" x14ac:dyDescent="0.25"/>
  <cols>
    <col min="1" max="1" width="8" customWidth="1"/>
    <col min="2" max="2" width="33.109375" customWidth="1"/>
    <col min="3" max="4" width="14.88671875" customWidth="1"/>
    <col min="5" max="5" width="5.5546875" customWidth="1"/>
    <col min="6" max="6" width="22" customWidth="1"/>
    <col min="7" max="8" width="14.21875" customWidth="1"/>
  </cols>
  <sheetData>
    <row r="1" spans="1:8" ht="15" customHeight="1" x14ac:dyDescent="0.25">
      <c r="A1" s="16" t="s">
        <v>0</v>
      </c>
      <c r="B1" s="17" t="s">
        <v>1</v>
      </c>
      <c r="C1" s="18" t="s">
        <v>2</v>
      </c>
      <c r="D1" s="18"/>
      <c r="E1" s="19" t="s">
        <v>0</v>
      </c>
      <c r="F1" s="20" t="s">
        <v>3</v>
      </c>
      <c r="G1" s="21" t="s">
        <v>2</v>
      </c>
      <c r="H1" s="35"/>
    </row>
    <row r="2" spans="1:8" ht="15.45" customHeight="1" x14ac:dyDescent="0.25">
      <c r="A2" s="22"/>
      <c r="B2" s="2" t="s">
        <v>4</v>
      </c>
      <c r="C2" s="3"/>
      <c r="D2" s="3"/>
      <c r="E2" s="1"/>
      <c r="F2" s="4" t="s">
        <v>5</v>
      </c>
      <c r="G2" s="23"/>
      <c r="H2" s="36"/>
    </row>
    <row r="3" spans="1:8" ht="15" customHeight="1" x14ac:dyDescent="0.25">
      <c r="A3" s="24">
        <v>18</v>
      </c>
      <c r="B3" s="6" t="s">
        <v>6</v>
      </c>
      <c r="C3" s="7">
        <v>2.1</v>
      </c>
      <c r="D3" s="7" t="s">
        <v>32</v>
      </c>
      <c r="E3" s="5">
        <v>38</v>
      </c>
      <c r="F3" s="6" t="s">
        <v>7</v>
      </c>
      <c r="G3" s="25">
        <v>7</v>
      </c>
      <c r="H3" s="37" t="s">
        <v>34</v>
      </c>
    </row>
    <row r="4" spans="1:8" ht="15" customHeight="1" x14ac:dyDescent="0.25">
      <c r="A4" s="24">
        <v>19</v>
      </c>
      <c r="B4" s="6" t="s">
        <v>8</v>
      </c>
      <c r="C4" s="7">
        <v>4</v>
      </c>
      <c r="D4" s="7" t="s">
        <v>32</v>
      </c>
      <c r="E4" s="5">
        <v>39</v>
      </c>
      <c r="F4" s="6" t="s">
        <v>9</v>
      </c>
      <c r="G4" s="25">
        <v>4</v>
      </c>
      <c r="H4" s="37" t="s">
        <v>34</v>
      </c>
    </row>
    <row r="5" spans="1:8" ht="15" customHeight="1" x14ac:dyDescent="0.25">
      <c r="A5" s="24">
        <v>20</v>
      </c>
      <c r="B5" s="6" t="s">
        <v>10</v>
      </c>
      <c r="C5" s="7">
        <v>3</v>
      </c>
      <c r="D5" s="7" t="s">
        <v>32</v>
      </c>
      <c r="E5" s="5">
        <v>40</v>
      </c>
      <c r="F5" s="6" t="s">
        <v>11</v>
      </c>
      <c r="G5" s="25">
        <v>2</v>
      </c>
      <c r="H5" s="37" t="s">
        <v>34</v>
      </c>
    </row>
    <row r="6" spans="1:8" ht="15" customHeight="1" x14ac:dyDescent="0.25">
      <c r="A6" s="24">
        <v>21</v>
      </c>
      <c r="B6" s="6" t="s">
        <v>12</v>
      </c>
      <c r="C6" s="7">
        <v>2.1</v>
      </c>
      <c r="D6" s="7" t="s">
        <v>32</v>
      </c>
      <c r="E6" s="5">
        <v>41</v>
      </c>
      <c r="F6" s="6" t="s">
        <v>13</v>
      </c>
      <c r="G6" s="26"/>
      <c r="H6" s="36"/>
    </row>
    <row r="7" spans="1:8" ht="15" customHeight="1" x14ac:dyDescent="0.25">
      <c r="A7" s="24">
        <v>22</v>
      </c>
      <c r="B7" s="6" t="s">
        <v>14</v>
      </c>
      <c r="C7" s="7">
        <v>1</v>
      </c>
      <c r="D7" s="7" t="s">
        <v>33</v>
      </c>
      <c r="E7" s="5">
        <v>42</v>
      </c>
      <c r="F7" s="6" t="s">
        <v>15</v>
      </c>
      <c r="G7" s="25">
        <v>1</v>
      </c>
      <c r="H7" s="37" t="s">
        <v>34</v>
      </c>
    </row>
    <row r="8" spans="1:8" ht="15" customHeight="1" x14ac:dyDescent="0.25">
      <c r="A8" s="24">
        <v>23</v>
      </c>
      <c r="B8" s="6" t="s">
        <v>16</v>
      </c>
      <c r="C8" s="7">
        <v>2.15</v>
      </c>
      <c r="D8" s="7" t="s">
        <v>34</v>
      </c>
      <c r="E8" s="9"/>
      <c r="F8" s="10"/>
      <c r="G8" s="26"/>
      <c r="H8" s="36"/>
    </row>
    <row r="9" spans="1:8" ht="15" customHeight="1" x14ac:dyDescent="0.25">
      <c r="A9" s="24">
        <v>24</v>
      </c>
      <c r="B9" s="6" t="s">
        <v>17</v>
      </c>
      <c r="C9" s="7">
        <v>2</v>
      </c>
      <c r="D9" s="7" t="s">
        <v>33</v>
      </c>
      <c r="E9" s="9"/>
      <c r="F9" s="10"/>
      <c r="G9" s="26"/>
      <c r="H9" s="36"/>
    </row>
    <row r="10" spans="1:8" ht="15" customHeight="1" x14ac:dyDescent="0.25">
      <c r="A10" s="24">
        <v>25</v>
      </c>
      <c r="B10" s="6" t="s">
        <v>18</v>
      </c>
      <c r="C10" s="7">
        <v>2</v>
      </c>
      <c r="D10" s="7" t="s">
        <v>33</v>
      </c>
      <c r="E10" s="9"/>
      <c r="F10" s="10"/>
      <c r="G10" s="26"/>
      <c r="H10" s="36"/>
    </row>
    <row r="11" spans="1:8" ht="15" customHeight="1" x14ac:dyDescent="0.25">
      <c r="A11" s="24">
        <v>26</v>
      </c>
      <c r="B11" s="6" t="s">
        <v>19</v>
      </c>
      <c r="C11" s="7">
        <v>6</v>
      </c>
      <c r="D11" s="7" t="s">
        <v>33</v>
      </c>
      <c r="E11" s="9"/>
      <c r="F11" s="10"/>
      <c r="G11" s="26"/>
      <c r="H11" s="36"/>
    </row>
    <row r="12" spans="1:8" ht="15" customHeight="1" x14ac:dyDescent="0.25">
      <c r="A12" s="24">
        <v>27</v>
      </c>
      <c r="B12" s="6" t="s">
        <v>20</v>
      </c>
      <c r="C12" s="7">
        <v>4</v>
      </c>
      <c r="D12" s="7" t="s">
        <v>33</v>
      </c>
      <c r="E12" s="9"/>
      <c r="F12" s="10"/>
      <c r="G12" s="26"/>
      <c r="H12" s="36"/>
    </row>
    <row r="13" spans="1:8" ht="15" customHeight="1" x14ac:dyDescent="0.25">
      <c r="A13" s="24">
        <v>28</v>
      </c>
      <c r="B13" s="6" t="s">
        <v>21</v>
      </c>
      <c r="C13" s="7">
        <v>4</v>
      </c>
      <c r="D13" s="7" t="s">
        <v>32</v>
      </c>
      <c r="E13" s="9"/>
      <c r="F13" s="10"/>
      <c r="G13" s="26"/>
      <c r="H13" s="36"/>
    </row>
    <row r="14" spans="1:8" ht="15.3" customHeight="1" x14ac:dyDescent="0.25">
      <c r="A14" s="24">
        <v>29</v>
      </c>
      <c r="B14" s="6" t="s">
        <v>22</v>
      </c>
      <c r="C14" s="7">
        <v>6.3</v>
      </c>
      <c r="D14" s="7" t="s">
        <v>32</v>
      </c>
      <c r="E14" s="9"/>
      <c r="F14" s="10"/>
      <c r="G14" s="26"/>
      <c r="H14" s="36"/>
    </row>
    <row r="15" spans="1:8" ht="15" customHeight="1" x14ac:dyDescent="0.25">
      <c r="A15" s="24">
        <v>30</v>
      </c>
      <c r="B15" s="6" t="s">
        <v>23</v>
      </c>
      <c r="C15" s="7">
        <v>1</v>
      </c>
      <c r="D15" s="7" t="s">
        <v>32</v>
      </c>
      <c r="E15" s="9"/>
      <c r="F15" s="10"/>
      <c r="G15" s="26"/>
      <c r="H15" s="36"/>
    </row>
    <row r="16" spans="1:8" ht="15" customHeight="1" x14ac:dyDescent="0.25">
      <c r="A16" s="27"/>
      <c r="B16" s="11" t="s">
        <v>24</v>
      </c>
      <c r="C16" s="8"/>
      <c r="D16" s="8"/>
      <c r="E16" s="9"/>
      <c r="F16" s="10"/>
      <c r="G16" s="26"/>
      <c r="H16" s="36"/>
    </row>
    <row r="17" spans="1:8" ht="15" customHeight="1" x14ac:dyDescent="0.25">
      <c r="A17" s="24">
        <v>32</v>
      </c>
      <c r="B17" s="6" t="s">
        <v>25</v>
      </c>
      <c r="C17" s="7">
        <v>1.2</v>
      </c>
      <c r="D17" s="7" t="s">
        <v>32</v>
      </c>
      <c r="E17" s="9"/>
      <c r="F17" s="10"/>
      <c r="G17" s="26"/>
      <c r="H17" s="36"/>
    </row>
    <row r="18" spans="1:8" ht="15" customHeight="1" x14ac:dyDescent="0.25">
      <c r="A18" s="24">
        <v>33</v>
      </c>
      <c r="B18" s="6" t="s">
        <v>26</v>
      </c>
      <c r="C18" s="7">
        <v>1.55</v>
      </c>
      <c r="D18" s="7" t="s">
        <v>34</v>
      </c>
      <c r="E18" s="9"/>
      <c r="F18" s="10"/>
      <c r="G18" s="26"/>
      <c r="H18" s="36"/>
    </row>
    <row r="19" spans="1:8" ht="15.45" customHeight="1" x14ac:dyDescent="0.25">
      <c r="A19" s="24">
        <v>34</v>
      </c>
      <c r="B19" s="6" t="s">
        <v>27</v>
      </c>
      <c r="C19" s="7">
        <v>1.5</v>
      </c>
      <c r="D19" s="7" t="s">
        <v>32</v>
      </c>
      <c r="E19" s="9"/>
      <c r="F19" s="10"/>
      <c r="G19" s="26"/>
      <c r="H19" s="36"/>
    </row>
    <row r="20" spans="1:8" ht="15" customHeight="1" x14ac:dyDescent="0.25">
      <c r="A20" s="24">
        <v>35</v>
      </c>
      <c r="B20" s="6" t="s">
        <v>28</v>
      </c>
      <c r="C20" s="7">
        <v>3.5</v>
      </c>
      <c r="D20" s="7" t="s">
        <v>33</v>
      </c>
      <c r="E20" s="9"/>
      <c r="F20" s="10"/>
      <c r="G20" s="26"/>
      <c r="H20" s="36"/>
    </row>
    <row r="21" spans="1:8" ht="28.95" customHeight="1" x14ac:dyDescent="0.25">
      <c r="A21" s="24">
        <v>36</v>
      </c>
      <c r="B21" s="6" t="s">
        <v>29</v>
      </c>
      <c r="C21" s="7">
        <v>4.2</v>
      </c>
      <c r="D21" s="7" t="s">
        <v>35</v>
      </c>
      <c r="E21" s="12"/>
      <c r="F21" s="13"/>
      <c r="G21" s="28"/>
      <c r="H21" s="38"/>
    </row>
    <row r="22" spans="1:8" ht="29.25" customHeight="1" x14ac:dyDescent="0.25">
      <c r="A22" s="29"/>
      <c r="B22" s="15" t="s">
        <v>30</v>
      </c>
      <c r="C22" s="14"/>
      <c r="D22" s="14"/>
      <c r="E22" s="12"/>
      <c r="F22" s="15" t="s">
        <v>30</v>
      </c>
      <c r="G22" s="28"/>
      <c r="H22" s="38"/>
    </row>
    <row r="23" spans="1:8" ht="15" customHeight="1" x14ac:dyDescent="0.25">
      <c r="A23" s="30"/>
      <c r="B23" s="31" t="s">
        <v>31</v>
      </c>
      <c r="C23" s="32">
        <f>SUM(C3:C21)</f>
        <v>51.6</v>
      </c>
      <c r="D23" s="32"/>
      <c r="E23" s="33"/>
      <c r="F23" s="31" t="s">
        <v>31</v>
      </c>
      <c r="G23" s="34">
        <f>SUM(G3:G21)</f>
        <v>14</v>
      </c>
      <c r="H23" s="37"/>
    </row>
    <row r="25" spans="1:8" x14ac:dyDescent="0.25">
      <c r="C25" t="s">
        <v>32</v>
      </c>
      <c r="D25" s="39">
        <f>SUM(C3:C6,C13:C15,C17,C19)</f>
        <v>25.2</v>
      </c>
    </row>
    <row r="26" spans="1:8" x14ac:dyDescent="0.25">
      <c r="C26" t="s">
        <v>33</v>
      </c>
      <c r="D26" s="39">
        <f>SUM(C7,C9:C12,C20)</f>
        <v>18.5</v>
      </c>
    </row>
    <row r="27" spans="1:8" x14ac:dyDescent="0.25">
      <c r="C27" t="s">
        <v>34</v>
      </c>
      <c r="D27" s="39">
        <f>SUM(C8,C18,G3:G5,G7)</f>
        <v>17.7</v>
      </c>
    </row>
    <row r="28" spans="1:8" x14ac:dyDescent="0.25">
      <c r="C28" t="s">
        <v>35</v>
      </c>
      <c r="D28" s="39">
        <f>SUM(C21)</f>
        <v>4.2</v>
      </c>
    </row>
    <row r="29" spans="1:8" x14ac:dyDescent="0.25">
      <c r="D29" s="39">
        <f>SUM(D25:D28)</f>
        <v>65.600000000000009</v>
      </c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cp:lastPrinted>2024-10-02T01:33:07Z</cp:lastPrinted>
  <dcterms:created xsi:type="dcterms:W3CDTF">2024-10-02T01:20:25Z</dcterms:created>
  <dcterms:modified xsi:type="dcterms:W3CDTF">2024-10-02T01:33:12Z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2024-09-30T00:00:00Z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2024-10-02T00:00:00Z</vt:filetime>
  </property>
  <property fmtid="{D5CDD505-2E9C-101B-9397-08002B2CF9AE}" pid="5" name="Producer">
    <vt:lpwstr>Microsoft® Excel® 2010</vt:lpwstr>
  </property>
</Properties>
</file>