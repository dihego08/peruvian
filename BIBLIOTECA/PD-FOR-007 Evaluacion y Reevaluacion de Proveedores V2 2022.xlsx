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borrador\"/>
    </mc:Choice>
  </mc:AlternateContent>
  <xr:revisionPtr revIDLastSave="0" documentId="8_{9E1D55AE-93D2-4EDB-99EA-7770B98A40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aluacion al 27-12-2022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Yiav+h4fWjmcSCesz+yR56nnsbJbDenFOLYkAtgo8rk="/>
    </ext>
  </extLst>
</workbook>
</file>

<file path=xl/calcChain.xml><?xml version="1.0" encoding="utf-8"?>
<calcChain xmlns="http://schemas.openxmlformats.org/spreadsheetml/2006/main">
  <c r="O24" i="1" l="1"/>
  <c r="P24" i="1" s="1"/>
  <c r="O23" i="1"/>
  <c r="P23" i="1" s="1"/>
  <c r="P12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13" i="1"/>
  <c r="P13" i="1" s="1"/>
  <c r="O12" i="1"/>
  <c r="O14" i="1"/>
  <c r="P14" i="1" s="1"/>
  <c r="O15" i="1"/>
  <c r="P15" i="1" s="1"/>
  <c r="O11" i="1"/>
</calcChain>
</file>

<file path=xl/sharedStrings.xml><?xml version="1.0" encoding="utf-8"?>
<sst xmlns="http://schemas.openxmlformats.org/spreadsheetml/2006/main" count="56" uniqueCount="54">
  <si>
    <t>Item</t>
  </si>
  <si>
    <t>Nombre del Proveedor</t>
  </si>
  <si>
    <t>Producto / Servicio</t>
  </si>
  <si>
    <t>Fecha de Evaluación</t>
  </si>
  <si>
    <t>CRITERIOS DE EVALUACION / REEVALUACION</t>
  </si>
  <si>
    <t>CALIFICACIÓN</t>
  </si>
  <si>
    <t>RESULTADO</t>
  </si>
  <si>
    <t>Tiempos de entrega</t>
  </si>
  <si>
    <t>Garantia</t>
  </si>
  <si>
    <t>Precios competitivos</t>
  </si>
  <si>
    <t>Facilidades de pago</t>
  </si>
  <si>
    <t>Asesoramiento</t>
  </si>
  <si>
    <t>Disponibilidad</t>
  </si>
  <si>
    <t>Documentación requerida</t>
  </si>
  <si>
    <t>REPUESTOS GUTI E.I.R.L.</t>
  </si>
  <si>
    <t xml:space="preserve">Repuestos, aujas, fajas de maquinas de costura </t>
  </si>
  <si>
    <t>THE ELEPHANT AQP E.I.R.L.</t>
  </si>
  <si>
    <t>Hilos, elasticos, cinta reflectiva, aujas, cordones, topes, tallas</t>
  </si>
  <si>
    <t>ZAPANA ZAPANA JOHN AGUSTIN</t>
  </si>
  <si>
    <t>Maquinas industriales de costura</t>
  </si>
  <si>
    <t>DISTRIBUIDORA NAGAVE E.I.R.L.</t>
  </si>
  <si>
    <t>Articulos de oficina y libreria</t>
  </si>
  <si>
    <t>HUACHACA CCOSCO JOSE</t>
  </si>
  <si>
    <t>Cintas, botones, encajes, elasticos, sesgo</t>
  </si>
  <si>
    <t>HUACANI HUAMANI MARILU ELIANA</t>
  </si>
  <si>
    <t>Tela plana, tela de agua, tela drill, tela oxfor,tela popelina</t>
  </si>
  <si>
    <t>TEXTILES DENEGUI E.I.R.L</t>
  </si>
  <si>
    <t>Tela Drill tecnologia, drill San Jacinto</t>
  </si>
  <si>
    <t>CRITERIOS DE EVALUACIÓN</t>
  </si>
  <si>
    <t>EVALUACIÓN</t>
  </si>
  <si>
    <t>PUNTUACION</t>
  </si>
  <si>
    <t>No aceptable</t>
  </si>
  <si>
    <t>Bueno</t>
  </si>
  <si>
    <t>Excelente</t>
  </si>
  <si>
    <t>CRITERIOS DE ACEPTACION</t>
  </si>
  <si>
    <t>0 - 2.9</t>
  </si>
  <si>
    <t>Regular</t>
  </si>
  <si>
    <t>3.0 - 4.0</t>
  </si>
  <si>
    <t>4.1 - 5</t>
  </si>
  <si>
    <t>IMPORTACIONES Y REPRESENTACIONES LEON EIRL</t>
  </si>
  <si>
    <t xml:space="preserve">SOCIEDAD ELECTRICA DEL SUR </t>
  </si>
  <si>
    <t>Energia electrica</t>
  </si>
  <si>
    <t>INCALPACA TEXTILES DE EXPORT SA</t>
  </si>
  <si>
    <t>Tela de algodón jersey, piquet</t>
  </si>
  <si>
    <t>ETIQUETAS ZALAQUETT DEL PERU S.A.C.</t>
  </si>
  <si>
    <t>Etiquetas, cintas, cartones</t>
  </si>
  <si>
    <t>PLASTIGESA E.I.R.L</t>
  </si>
  <si>
    <t xml:space="preserve">Bolsas de plastico </t>
  </si>
  <si>
    <t xml:space="preserve">Hilos, Repuestos, aujas, fajas de maquinas de costura </t>
  </si>
  <si>
    <r>
      <t xml:space="preserve">EXCELENTE
</t>
    </r>
    <r>
      <rPr>
        <b/>
        <sz val="12"/>
        <color rgb="FF0070C0"/>
        <rFont val="Arial"/>
        <family val="2"/>
      </rPr>
      <t>(4.1 A 5)</t>
    </r>
    <r>
      <rPr>
        <b/>
        <sz val="12"/>
        <color theme="1"/>
        <rFont val="Arial"/>
        <family val="2"/>
      </rPr>
      <t xml:space="preserve">
BUENO 
</t>
    </r>
    <r>
      <rPr>
        <b/>
        <sz val="12"/>
        <color rgb="FF0070C0"/>
        <rFont val="Arial"/>
        <family val="2"/>
      </rPr>
      <t xml:space="preserve">(3,0 a 4) </t>
    </r>
    <r>
      <rPr>
        <b/>
        <sz val="12"/>
        <color theme="1"/>
        <rFont val="Arial"/>
        <family val="2"/>
      </rPr>
      <t xml:space="preserve"> 
MALO
</t>
    </r>
    <r>
      <rPr>
        <b/>
        <sz val="12"/>
        <color rgb="FF0070C0"/>
        <rFont val="Arial"/>
        <family val="2"/>
      </rPr>
      <t>(0 a 2,9)</t>
    </r>
    <r>
      <rPr>
        <b/>
        <sz val="12"/>
        <color theme="1"/>
        <rFont val="Arial"/>
        <family val="2"/>
      </rPr>
      <t xml:space="preserve"> </t>
    </r>
  </si>
  <si>
    <t>DESDE</t>
  </si>
  <si>
    <t>HASTA</t>
  </si>
  <si>
    <t>SEDAPAR</t>
  </si>
  <si>
    <t>Agua potable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</si>
</sst>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0.0"/>
  </numFmts>
  <fonts count="9" x14ac:knownFonts="1">
    <font>
      <sz val="11"/>
      <color theme="1"/>
      <name val="Calibri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sz val="11"/>
      <name val="Calibri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11"/>
      <name val="Arial"/>
      <family val="2"/>
    </font>
    <font>
      <b/>
      <sz val="12"/>
      <color rgb="FF0070C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  <fill>
      <patternFill patternType="solid">
        <fgColor theme="2" tint="-0.14999847407452621"/>
        <bgColor rgb="FFA5A5A5"/>
      </patternFill>
    </fill>
    <fill>
      <patternFill patternType="solid">
        <fgColor theme="6" tint="0.59999389629810485"/>
        <bgColor rgb="FFA5A5A5"/>
      </patternFill>
    </fill>
    <fill>
      <patternFill patternType="solid">
        <fgColor theme="6" tint="0.59999389629810485"/>
        <bgColor indexed="64"/>
      </patternFill>
    </fill>
  </fills>
  <borders count="5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1" fillId="2" borderId="1" xfId="0" applyFont="1" applyFill="1" applyBorder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1" fontId="1" fillId="0" borderId="6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/>
    <xf numFmtId="0" fontId="1" fillId="0" borderId="10" xfId="0" applyFont="1" applyBorder="1"/>
    <xf numFmtId="16" fontId="1" fillId="0" borderId="6" xfId="0" applyNumberFormat="1" applyFont="1" applyBorder="1" applyAlignment="1">
      <alignment horizontal="center" vertical="center"/>
    </xf>
    <xf numFmtId="16" fontId="1" fillId="0" borderId="10" xfId="0" applyNumberFormat="1" applyFont="1" applyBorder="1"/>
    <xf numFmtId="9" fontId="2" fillId="5" borderId="18" xfId="0" applyNumberFormat="1" applyFont="1" applyFill="1" applyBorder="1" applyAlignment="1">
      <alignment horizontal="center" vertical="center" textRotation="90"/>
    </xf>
    <xf numFmtId="9" fontId="2" fillId="5" borderId="18" xfId="0" applyNumberFormat="1" applyFont="1" applyFill="1" applyBorder="1" applyAlignment="1">
      <alignment horizontal="center" vertical="center" textRotation="90" wrapText="1"/>
    </xf>
    <xf numFmtId="1" fontId="1" fillId="0" borderId="19" xfId="0" applyNumberFormat="1" applyFont="1" applyBorder="1" applyAlignment="1">
      <alignment horizontal="center" vertical="center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/>
    </xf>
    <xf numFmtId="9" fontId="2" fillId="5" borderId="21" xfId="0" applyNumberFormat="1" applyFont="1" applyFill="1" applyBorder="1" applyAlignment="1">
      <alignment horizontal="center" vertical="center" textRotation="90"/>
    </xf>
    <xf numFmtId="9" fontId="2" fillId="5" borderId="24" xfId="0" applyNumberFormat="1" applyFont="1" applyFill="1" applyBorder="1" applyAlignment="1">
      <alignment horizontal="center" vertical="center" textRotation="90"/>
    </xf>
    <xf numFmtId="1" fontId="1" fillId="0" borderId="15" xfId="0" applyNumberFormat="1" applyFont="1" applyBorder="1" applyAlignment="1">
      <alignment horizontal="center" vertical="center"/>
    </xf>
    <xf numFmtId="1" fontId="1" fillId="0" borderId="20" xfId="0" applyNumberFormat="1" applyFont="1" applyBorder="1" applyAlignment="1">
      <alignment horizontal="center" vertical="center"/>
    </xf>
    <xf numFmtId="1" fontId="1" fillId="0" borderId="24" xfId="0" applyNumberFormat="1" applyFont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 textRotation="90" wrapText="1"/>
    </xf>
    <xf numFmtId="0" fontId="5" fillId="3" borderId="8" xfId="0" applyFont="1" applyFill="1" applyBorder="1" applyAlignment="1">
      <alignment horizontal="center" vertical="center" textRotation="90" wrapText="1"/>
    </xf>
    <xf numFmtId="0" fontId="5" fillId="3" borderId="27" xfId="0" applyFont="1" applyFill="1" applyBorder="1" applyAlignment="1">
      <alignment horizontal="center" vertical="center" textRotation="90" wrapText="1"/>
    </xf>
    <xf numFmtId="9" fontId="2" fillId="6" borderId="22" xfId="0" applyNumberFormat="1" applyFont="1" applyFill="1" applyBorder="1" applyAlignment="1">
      <alignment horizontal="center" vertical="center" textRotation="90"/>
    </xf>
    <xf numFmtId="165" fontId="1" fillId="0" borderId="13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5" fontId="1" fillId="0" borderId="22" xfId="0" applyNumberFormat="1" applyFont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1" fillId="4" borderId="31" xfId="0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/>
    </xf>
    <xf numFmtId="1" fontId="1" fillId="0" borderId="37" xfId="0" applyNumberFormat="1" applyFont="1" applyBorder="1" applyAlignment="1">
      <alignment horizontal="center" vertical="center" wrapText="1"/>
    </xf>
    <xf numFmtId="1" fontId="1" fillId="0" borderId="38" xfId="0" applyNumberFormat="1" applyFont="1" applyBorder="1" applyAlignment="1">
      <alignment horizontal="center" vertical="center" wrapText="1"/>
    </xf>
    <xf numFmtId="1" fontId="1" fillId="0" borderId="39" xfId="0" applyNumberFormat="1" applyFont="1" applyBorder="1" applyAlignment="1">
      <alignment horizontal="center" vertical="center" wrapText="1"/>
    </xf>
    <xf numFmtId="0" fontId="1" fillId="4" borderId="25" xfId="0" applyFont="1" applyFill="1" applyBorder="1" applyAlignment="1">
      <alignment vertical="center" wrapText="1"/>
    </xf>
    <xf numFmtId="0" fontId="1" fillId="4" borderId="42" xfId="0" applyFont="1" applyFill="1" applyBorder="1" applyAlignment="1">
      <alignment vertical="center" wrapText="1"/>
    </xf>
    <xf numFmtId="0" fontId="1" fillId="0" borderId="42" xfId="0" applyFont="1" applyBorder="1" applyAlignment="1">
      <alignment vertical="center" wrapText="1"/>
    </xf>
    <xf numFmtId="0" fontId="1" fillId="0" borderId="43" xfId="0" applyFont="1" applyBorder="1" applyAlignment="1">
      <alignment vertical="center" wrapText="1"/>
    </xf>
    <xf numFmtId="1" fontId="1" fillId="0" borderId="14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9" fontId="2" fillId="5" borderId="44" xfId="0" applyNumberFormat="1" applyFont="1" applyFill="1" applyBorder="1" applyAlignment="1">
      <alignment horizontal="center" vertical="center"/>
    </xf>
    <xf numFmtId="164" fontId="1" fillId="4" borderId="45" xfId="0" applyNumberFormat="1" applyFont="1" applyFill="1" applyBorder="1" applyAlignment="1">
      <alignment horizontal="center" vertical="center" wrapText="1"/>
    </xf>
    <xf numFmtId="164" fontId="1" fillId="4" borderId="46" xfId="0" applyNumberFormat="1" applyFont="1" applyFill="1" applyBorder="1" applyAlignment="1">
      <alignment horizontal="center" vertical="center" wrapText="1"/>
    </xf>
    <xf numFmtId="164" fontId="1" fillId="4" borderId="47" xfId="0" applyNumberFormat="1" applyFont="1" applyFill="1" applyBorder="1" applyAlignment="1">
      <alignment horizontal="center" vertical="center" wrapText="1"/>
    </xf>
    <xf numFmtId="164" fontId="1" fillId="4" borderId="48" xfId="0" applyNumberFormat="1" applyFont="1" applyFill="1" applyBorder="1" applyAlignment="1">
      <alignment horizontal="center" vertical="center" wrapText="1"/>
    </xf>
    <xf numFmtId="164" fontId="1" fillId="4" borderId="49" xfId="0" applyNumberFormat="1" applyFont="1" applyFill="1" applyBorder="1" applyAlignment="1">
      <alignment horizontal="center" vertical="center" wrapText="1"/>
    </xf>
    <xf numFmtId="164" fontId="1" fillId="4" borderId="50" xfId="0" applyNumberFormat="1" applyFont="1" applyFill="1" applyBorder="1" applyAlignment="1">
      <alignment horizontal="center" vertical="center" wrapText="1"/>
    </xf>
    <xf numFmtId="0" fontId="2" fillId="3" borderId="35" xfId="0" applyFont="1" applyFill="1" applyBorder="1" applyAlignment="1">
      <alignment horizontal="center" vertical="center" wrapText="1"/>
    </xf>
    <xf numFmtId="0" fontId="4" fillId="0" borderId="36" xfId="0" applyFont="1" applyBorder="1"/>
    <xf numFmtId="0" fontId="4" fillId="0" borderId="33" xfId="0" applyFont="1" applyBorder="1"/>
    <xf numFmtId="0" fontId="2" fillId="3" borderId="12" xfId="0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" xfId="0" applyFont="1" applyBorder="1"/>
    <xf numFmtId="0" fontId="0" fillId="0" borderId="1" xfId="0" applyBorder="1"/>
    <xf numFmtId="0" fontId="4" fillId="0" borderId="17" xfId="0" applyFont="1" applyBorder="1"/>
    <xf numFmtId="0" fontId="2" fillId="6" borderId="12" xfId="0" applyFont="1" applyFill="1" applyBorder="1" applyAlignment="1">
      <alignment horizontal="center" vertical="center" textRotation="90"/>
    </xf>
    <xf numFmtId="0" fontId="4" fillId="7" borderId="9" xfId="0" applyFont="1" applyFill="1" applyBorder="1"/>
    <xf numFmtId="0" fontId="2" fillId="3" borderId="32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vertical="center" wrapText="1"/>
    </xf>
    <xf numFmtId="0" fontId="7" fillId="0" borderId="5" xfId="0" applyFont="1" applyBorder="1"/>
    <xf numFmtId="0" fontId="2" fillId="5" borderId="28" xfId="0" applyFont="1" applyFill="1" applyBorder="1" applyAlignment="1">
      <alignment horizontal="center" vertical="center" wrapText="1"/>
    </xf>
    <xf numFmtId="0" fontId="2" fillId="5" borderId="29" xfId="0" applyFont="1" applyFill="1" applyBorder="1" applyAlignment="1">
      <alignment horizontal="center" vertical="center" wrapText="1"/>
    </xf>
    <xf numFmtId="0" fontId="2" fillId="5" borderId="3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40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/>
    </xf>
    <xf numFmtId="0" fontId="4" fillId="0" borderId="4" xfId="0" applyFont="1" applyBorder="1"/>
    <xf numFmtId="0" fontId="4" fillId="0" borderId="10" xfId="0" applyFont="1" applyBorder="1"/>
    <xf numFmtId="0" fontId="2" fillId="0" borderId="2" xfId="0" applyFont="1" applyBorder="1" applyAlignment="1">
      <alignment horizontal="center" vertical="center" textRotation="90"/>
    </xf>
    <xf numFmtId="0" fontId="4" fillId="0" borderId="7" xfId="0" applyFont="1" applyBorder="1"/>
    <xf numFmtId="0" fontId="4" fillId="0" borderId="8" xfId="0" applyFont="1" applyBorder="1"/>
    <xf numFmtId="164" fontId="1" fillId="4" borderId="22" xfId="0" applyNumberFormat="1" applyFont="1" applyFill="1" applyBorder="1" applyAlignment="1">
      <alignment horizontal="left" vertical="center" wrapText="1"/>
    </xf>
    <xf numFmtId="0" fontId="7" fillId="0" borderId="22" xfId="0" applyFont="1" applyBorder="1"/>
    <xf numFmtId="0" fontId="2" fillId="3" borderId="3" xfId="0" applyFont="1" applyFill="1" applyBorder="1" applyAlignment="1">
      <alignment horizontal="center" vertical="center"/>
    </xf>
    <xf numFmtId="164" fontId="1" fillId="4" borderId="5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9"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</xdr:colOff>
      <xdr:row>1</xdr:row>
      <xdr:rowOff>19050</xdr:rowOff>
    </xdr:from>
    <xdr:ext cx="8639174" cy="1114425"/>
    <xdr:grpSp>
      <xdr:nvGrpSpPr>
        <xdr:cNvPr id="2" name="Shape 2" title="Dibuj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118361" y="194310"/>
          <a:ext cx="8639174" cy="1114425"/>
          <a:chOff x="1893188" y="3318038"/>
          <a:chExt cx="6905625" cy="9239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1893188" y="3318038"/>
            <a:ext cx="6905625" cy="923925"/>
            <a:chOff x="0" y="0"/>
            <a:chExt cx="7618672" cy="1194158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0" y="0"/>
              <a:ext cx="7618650" cy="11941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 txBox="1"/>
          </xdr:nvSpPr>
          <xdr:spPr>
            <a:xfrm>
              <a:off x="5989570" y="26275"/>
              <a:ext cx="1530569" cy="29484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PD-FOR-007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cxnSp macro="">
          <xdr:nvCxnSpPr>
            <xdr:cNvPr id="6" name="Shape 6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CxnSpPr/>
          </xdr:nvCxnSpPr>
          <xdr:spPr>
            <a:xfrm>
              <a:off x="0" y="1194158"/>
              <a:ext cx="7603434" cy="0"/>
            </a:xfrm>
            <a:prstGeom prst="straightConnector1">
              <a:avLst/>
            </a:prstGeom>
            <a:noFill/>
            <a:ln w="38100" cap="flat" cmpd="sng">
              <a:solidFill>
                <a:schemeClr val="dk1"/>
              </a:solidFill>
              <a:prstDash val="solid"/>
              <a:round/>
              <a:headEnd type="none" w="sm" len="sm"/>
              <a:tailEnd type="none" w="sm" len="sm"/>
            </a:ln>
          </xdr:spPr>
        </xdr:cxnSp>
        <xdr:sp macro="" textlink="">
          <xdr:nvSpPr>
            <xdr:cNvPr id="7" name="Shape 7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5010793" y="0"/>
              <a:ext cx="2607879" cy="340069"/>
            </a:xfrm>
            <a:prstGeom prst="roundRect">
              <a:avLst>
                <a:gd name="adj" fmla="val 16667"/>
              </a:avLst>
            </a:prstGeom>
            <a:noFill/>
            <a:ln w="25400" cap="flat" cmpd="sng">
              <a:solidFill>
                <a:schemeClr val="dk1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8" name="Shape 8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/>
          </xdr:nvSpPr>
          <xdr:spPr>
            <a:xfrm>
              <a:off x="5010793" y="386053"/>
              <a:ext cx="2607879" cy="340069"/>
            </a:xfrm>
            <a:prstGeom prst="roundRect">
              <a:avLst>
                <a:gd name="adj" fmla="val 16667"/>
              </a:avLst>
            </a:prstGeom>
            <a:noFill/>
            <a:ln w="25400" cap="flat" cmpd="sng">
              <a:solidFill>
                <a:schemeClr val="dk1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9" name="Shape 9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/>
          </xdr:nvSpPr>
          <xdr:spPr>
            <a:xfrm>
              <a:off x="5010793" y="772107"/>
              <a:ext cx="2607879" cy="340069"/>
            </a:xfrm>
            <a:prstGeom prst="roundRect">
              <a:avLst>
                <a:gd name="adj" fmla="val 16667"/>
              </a:avLst>
            </a:prstGeom>
            <a:noFill/>
            <a:ln w="25400" cap="flat" cmpd="sng">
              <a:solidFill>
                <a:schemeClr val="dk1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5083053" y="19706"/>
              <a:ext cx="729155" cy="29484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Código: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sp macro="" textlink="">
          <xdr:nvSpPr>
            <xdr:cNvPr id="11" name="Shape 11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 txBox="1"/>
          </xdr:nvSpPr>
          <xdr:spPr>
            <a:xfrm>
              <a:off x="5056777" y="405759"/>
              <a:ext cx="775138" cy="298724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Versión: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sp macro="" textlink="">
          <xdr:nvSpPr>
            <xdr:cNvPr id="12" name="Shape 12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5063347" y="791113"/>
              <a:ext cx="913086" cy="294086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F. Aprob.: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sp macro="" textlink="">
          <xdr:nvSpPr>
            <xdr:cNvPr id="13" name="Shape 13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SpPr txBox="1"/>
          </xdr:nvSpPr>
          <xdr:spPr>
            <a:xfrm>
              <a:off x="5983001" y="418897"/>
              <a:ext cx="1530569" cy="294087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002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sp macro="" textlink="">
          <xdr:nvSpPr>
            <xdr:cNvPr id="14" name="Shape 14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SpPr txBox="1"/>
          </xdr:nvSpPr>
          <xdr:spPr>
            <a:xfrm>
              <a:off x="5976432" y="798381"/>
              <a:ext cx="1530569" cy="294087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25/12/2022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sp macro="" textlink="">
          <xdr:nvSpPr>
            <xdr:cNvPr id="15" name="Shape 15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SpPr txBox="1"/>
          </xdr:nvSpPr>
          <xdr:spPr>
            <a:xfrm>
              <a:off x="1882063" y="11979"/>
              <a:ext cx="3084634" cy="1099037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 b="1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EVALUACIÓN Y REEVALUACIÓN DE PROVEEDORES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</xdr:grpSp>
    </xdr:grpSp>
    <xdr:clientData fLocksWithSheet="0"/>
  </xdr:oneCellAnchor>
  <xdr:twoCellAnchor>
    <xdr:from>
      <xdr:col>1</xdr:col>
      <xdr:colOff>1478279</xdr:colOff>
      <xdr:row>0</xdr:row>
      <xdr:rowOff>144780</xdr:rowOff>
    </xdr:from>
    <xdr:to>
      <xdr:col>4</xdr:col>
      <xdr:colOff>152400</xdr:colOff>
      <xdr:row>7</xdr:row>
      <xdr:rowOff>60959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67C391E6-0CCE-4598-A416-55CF667CF2A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72" r="9242"/>
        <a:stretch/>
      </xdr:blipFill>
      <xdr:spPr bwMode="auto">
        <a:xfrm>
          <a:off x="2087879" y="144780"/>
          <a:ext cx="2590801" cy="1142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1"/>
  <sheetViews>
    <sheetView showGridLines="0" tabSelected="1" workbookViewId="0">
      <selection activeCell="E9" sqref="E9:E11"/>
    </sheetView>
  </sheetViews>
  <sheetFormatPr baseColWidth="10" defaultColWidth="14.44140625" defaultRowHeight="15" customHeight="1" x14ac:dyDescent="0.3"/>
  <cols>
    <col min="1" max="1" width="8.88671875" customWidth="1"/>
    <col min="2" max="2" width="22" customWidth="1"/>
    <col min="3" max="3" width="10.109375" customWidth="1"/>
    <col min="4" max="4" width="25" customWidth="1"/>
    <col min="5" max="5" width="38.6640625" customWidth="1"/>
    <col min="6" max="7" width="16.77734375" customWidth="1"/>
    <col min="8" max="14" width="7.33203125" customWidth="1"/>
    <col min="15" max="15" width="11.88671875" customWidth="1"/>
    <col min="16" max="16" width="18.109375" customWidth="1"/>
    <col min="17" max="27" width="11.44140625" customWidth="1"/>
  </cols>
  <sheetData>
    <row r="1" spans="1:27" ht="14.25" customHeight="1" x14ac:dyDescent="0.3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4.25" customHeight="1" x14ac:dyDescent="0.3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4.25" customHeight="1" x14ac:dyDescent="0.3">
      <c r="A3" s="1"/>
      <c r="B3" s="1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4.25" customHeight="1" x14ac:dyDescent="0.3">
      <c r="A4" s="1"/>
      <c r="B4" s="1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4.25" customHeight="1" x14ac:dyDescent="0.3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5"/>
      <c r="O5" s="5"/>
      <c r="P5" s="5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4.25" customHeight="1" x14ac:dyDescent="0.3">
      <c r="A6" s="1"/>
      <c r="B6" s="1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4.2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4.25" customHeight="1" thickBot="1" x14ac:dyDescent="0.35">
      <c r="A8" s="6"/>
      <c r="B8" s="6"/>
      <c r="C8" s="6"/>
      <c r="D8" s="6"/>
      <c r="E8" s="6"/>
      <c r="F8" s="6"/>
      <c r="G8" s="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38.25" customHeight="1" thickBot="1" x14ac:dyDescent="0.35">
      <c r="A9" s="54" t="s">
        <v>0</v>
      </c>
      <c r="B9" s="57" t="s">
        <v>1</v>
      </c>
      <c r="C9" s="58"/>
      <c r="D9" s="58"/>
      <c r="E9" s="54" t="s">
        <v>2</v>
      </c>
      <c r="F9" s="71" t="s">
        <v>3</v>
      </c>
      <c r="G9" s="72"/>
      <c r="H9" s="68" t="s">
        <v>4</v>
      </c>
      <c r="I9" s="69"/>
      <c r="J9" s="69"/>
      <c r="K9" s="69"/>
      <c r="L9" s="69"/>
      <c r="M9" s="69"/>
      <c r="N9" s="70"/>
      <c r="O9" s="62" t="s">
        <v>5</v>
      </c>
      <c r="P9" s="33" t="s">
        <v>6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85.5" customHeight="1" x14ac:dyDescent="0.3">
      <c r="A10" s="55"/>
      <c r="B10" s="59"/>
      <c r="C10" s="60"/>
      <c r="D10" s="59"/>
      <c r="E10" s="55"/>
      <c r="F10" s="73"/>
      <c r="G10" s="74"/>
      <c r="H10" s="26" t="s">
        <v>7</v>
      </c>
      <c r="I10" s="27" t="s">
        <v>8</v>
      </c>
      <c r="J10" s="27" t="s">
        <v>9</v>
      </c>
      <c r="K10" s="27" t="s">
        <v>10</v>
      </c>
      <c r="L10" s="27" t="s">
        <v>11</v>
      </c>
      <c r="M10" s="27" t="s">
        <v>12</v>
      </c>
      <c r="N10" s="28" t="s">
        <v>13</v>
      </c>
      <c r="O10" s="63"/>
      <c r="P10" s="64" t="s">
        <v>49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34.5" customHeight="1" thickBot="1" x14ac:dyDescent="0.35">
      <c r="A11" s="56"/>
      <c r="B11" s="61"/>
      <c r="C11" s="61"/>
      <c r="D11" s="61"/>
      <c r="E11" s="56"/>
      <c r="F11" s="47" t="s">
        <v>50</v>
      </c>
      <c r="G11" s="47" t="s">
        <v>51</v>
      </c>
      <c r="H11" s="21">
        <v>0.2</v>
      </c>
      <c r="I11" s="17">
        <v>0.15</v>
      </c>
      <c r="J11" s="17">
        <v>0.1</v>
      </c>
      <c r="K11" s="16">
        <v>0.1</v>
      </c>
      <c r="L11" s="16">
        <v>0.15</v>
      </c>
      <c r="M11" s="16">
        <v>0.15</v>
      </c>
      <c r="N11" s="22">
        <v>0.15</v>
      </c>
      <c r="O11" s="29">
        <f>SUM(H11:N11)</f>
        <v>1</v>
      </c>
      <c r="P11" s="55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30" customHeight="1" x14ac:dyDescent="0.3">
      <c r="A12" s="34">
        <v>1</v>
      </c>
      <c r="B12" s="65" t="s">
        <v>16</v>
      </c>
      <c r="C12" s="65"/>
      <c r="D12" s="65"/>
      <c r="E12" s="39" t="s">
        <v>17</v>
      </c>
      <c r="F12" s="48">
        <v>44669</v>
      </c>
      <c r="G12" s="49">
        <v>44922</v>
      </c>
      <c r="H12" s="43">
        <v>5</v>
      </c>
      <c r="I12" s="18">
        <v>3</v>
      </c>
      <c r="J12" s="18">
        <v>5</v>
      </c>
      <c r="K12" s="18">
        <v>5</v>
      </c>
      <c r="L12" s="18">
        <v>3</v>
      </c>
      <c r="M12" s="18">
        <v>3</v>
      </c>
      <c r="N12" s="23">
        <v>5</v>
      </c>
      <c r="O12" s="30">
        <f t="shared" ref="O12" si="0">(H12*H$11)+(I12*I$11)+(J12*J$11)+(K12*K$11)+(L12*L$11)+(M12*M$11)+(N12*$N$11)</f>
        <v>4.1000000000000005</v>
      </c>
      <c r="P12" s="36" t="str">
        <f>IF(O12=0,"",IF(O12&gt;=4.1,"EXCELENTE",IF(O12&gt;=3,"BUENO",IF(O12&lt;2.9,"MALO"))))</f>
        <v>EXCELENTE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30" customHeight="1" x14ac:dyDescent="0.3">
      <c r="A13" s="35">
        <v>2</v>
      </c>
      <c r="B13" s="66" t="s">
        <v>39</v>
      </c>
      <c r="C13" s="67"/>
      <c r="D13" s="67"/>
      <c r="E13" s="40" t="s">
        <v>48</v>
      </c>
      <c r="F13" s="50">
        <v>44669</v>
      </c>
      <c r="G13" s="51">
        <v>44922</v>
      </c>
      <c r="H13" s="44">
        <v>5</v>
      </c>
      <c r="I13" s="9">
        <v>3</v>
      </c>
      <c r="J13" s="9">
        <v>3</v>
      </c>
      <c r="K13" s="9">
        <v>3</v>
      </c>
      <c r="L13" s="9">
        <v>3</v>
      </c>
      <c r="M13" s="9">
        <v>5</v>
      </c>
      <c r="N13" s="24">
        <v>5</v>
      </c>
      <c r="O13" s="31">
        <f>(H13*H$11)+(I13*I$11)+(J13*J$11)+(K13*K$11)+(L13*L$11)+(M13*M$11)+(N13*$N$11)</f>
        <v>4</v>
      </c>
      <c r="P13" s="37" t="str">
        <f t="shared" ref="P13:P22" si="1">IF(O13=0,"",IF(O13&gt;=4.1,"EXCELENTE",IF(O13&gt;=3,"BUENO",IF(O13&lt;2.9,"MALO"))))</f>
        <v>BUENO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30" customHeight="1" x14ac:dyDescent="0.3">
      <c r="A14" s="35">
        <v>3</v>
      </c>
      <c r="B14" s="66" t="s">
        <v>14</v>
      </c>
      <c r="C14" s="67"/>
      <c r="D14" s="67"/>
      <c r="E14" s="40" t="s">
        <v>15</v>
      </c>
      <c r="F14" s="50">
        <v>44669</v>
      </c>
      <c r="G14" s="51">
        <v>44922</v>
      </c>
      <c r="H14" s="44">
        <v>3</v>
      </c>
      <c r="I14" s="9">
        <v>3</v>
      </c>
      <c r="J14" s="9">
        <v>3</v>
      </c>
      <c r="K14" s="9">
        <v>5</v>
      </c>
      <c r="L14" s="9">
        <v>5</v>
      </c>
      <c r="M14" s="9">
        <v>3</v>
      </c>
      <c r="N14" s="24">
        <v>5</v>
      </c>
      <c r="O14" s="31">
        <f>(H14*H$11)+(I14*I$11)+(J14*J$11)+(K14*K$11)+(L14*L$11)+(M14*M$11)+(N14*$N$11)</f>
        <v>3.8</v>
      </c>
      <c r="P14" s="37" t="str">
        <f t="shared" si="1"/>
        <v>BUENO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30" customHeight="1" x14ac:dyDescent="0.3">
      <c r="A15" s="35">
        <v>4</v>
      </c>
      <c r="B15" s="84" t="s">
        <v>18</v>
      </c>
      <c r="C15" s="84"/>
      <c r="D15" s="84"/>
      <c r="E15" s="41" t="s">
        <v>19</v>
      </c>
      <c r="F15" s="50">
        <v>44669</v>
      </c>
      <c r="G15" s="51">
        <v>44922</v>
      </c>
      <c r="H15" s="45">
        <v>3</v>
      </c>
      <c r="I15" s="10">
        <v>3</v>
      </c>
      <c r="J15" s="9">
        <v>3</v>
      </c>
      <c r="K15" s="9">
        <v>5</v>
      </c>
      <c r="L15" s="9">
        <v>5</v>
      </c>
      <c r="M15" s="9">
        <v>3</v>
      </c>
      <c r="N15" s="24">
        <v>5</v>
      </c>
      <c r="O15" s="31">
        <f t="shared" ref="O15:O22" si="2">(H15*H$11)+(I15*I$11)+(J15*J$11)+(K15*K$11)+(L15*L$11)+(M15*M$11)+(N15*$N$11)</f>
        <v>3.8</v>
      </c>
      <c r="P15" s="37" t="str">
        <f t="shared" si="1"/>
        <v>BUENO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30" customHeight="1" x14ac:dyDescent="0.3">
      <c r="A16" s="35">
        <v>5</v>
      </c>
      <c r="B16" s="84" t="s">
        <v>40</v>
      </c>
      <c r="C16" s="67"/>
      <c r="D16" s="67"/>
      <c r="E16" s="41" t="s">
        <v>41</v>
      </c>
      <c r="F16" s="50">
        <v>44669</v>
      </c>
      <c r="G16" s="51">
        <v>44922</v>
      </c>
      <c r="H16" s="45">
        <v>3</v>
      </c>
      <c r="I16" s="10">
        <v>3</v>
      </c>
      <c r="J16" s="9">
        <v>1</v>
      </c>
      <c r="K16" s="9">
        <v>3</v>
      </c>
      <c r="L16" s="9">
        <v>3</v>
      </c>
      <c r="M16" s="9">
        <v>3</v>
      </c>
      <c r="N16" s="24">
        <v>5</v>
      </c>
      <c r="O16" s="31">
        <f t="shared" si="2"/>
        <v>3.1</v>
      </c>
      <c r="P16" s="37" t="str">
        <f t="shared" si="1"/>
        <v>BUENO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30" customHeight="1" x14ac:dyDescent="0.3">
      <c r="A17" s="35">
        <v>6</v>
      </c>
      <c r="B17" s="84" t="s">
        <v>20</v>
      </c>
      <c r="C17" s="67"/>
      <c r="D17" s="67"/>
      <c r="E17" s="41" t="s">
        <v>21</v>
      </c>
      <c r="F17" s="50">
        <v>44669</v>
      </c>
      <c r="G17" s="51">
        <v>44922</v>
      </c>
      <c r="H17" s="45">
        <v>5</v>
      </c>
      <c r="I17" s="10">
        <v>3</v>
      </c>
      <c r="J17" s="9">
        <v>3</v>
      </c>
      <c r="K17" s="9">
        <v>3</v>
      </c>
      <c r="L17" s="9">
        <v>3</v>
      </c>
      <c r="M17" s="9">
        <v>5</v>
      </c>
      <c r="N17" s="24">
        <v>5</v>
      </c>
      <c r="O17" s="31">
        <f t="shared" si="2"/>
        <v>4</v>
      </c>
      <c r="P17" s="37" t="str">
        <f t="shared" si="1"/>
        <v>BUENO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30" customHeight="1" x14ac:dyDescent="0.3">
      <c r="A18" s="35">
        <v>7</v>
      </c>
      <c r="B18" s="84" t="s">
        <v>42</v>
      </c>
      <c r="C18" s="67"/>
      <c r="D18" s="67"/>
      <c r="E18" s="41" t="s">
        <v>43</v>
      </c>
      <c r="F18" s="50">
        <v>44669</v>
      </c>
      <c r="G18" s="51">
        <v>44922</v>
      </c>
      <c r="H18" s="45">
        <v>3</v>
      </c>
      <c r="I18" s="10">
        <v>5</v>
      </c>
      <c r="J18" s="9">
        <v>3</v>
      </c>
      <c r="K18" s="9">
        <v>3</v>
      </c>
      <c r="L18" s="9">
        <v>3</v>
      </c>
      <c r="M18" s="9">
        <v>5</v>
      </c>
      <c r="N18" s="24">
        <v>5</v>
      </c>
      <c r="O18" s="31">
        <f t="shared" si="2"/>
        <v>3.9000000000000004</v>
      </c>
      <c r="P18" s="37" t="str">
        <f t="shared" si="1"/>
        <v>BUENO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30" customHeight="1" x14ac:dyDescent="0.3">
      <c r="A19" s="35">
        <v>8</v>
      </c>
      <c r="B19" s="84" t="s">
        <v>24</v>
      </c>
      <c r="C19" s="67"/>
      <c r="D19" s="67"/>
      <c r="E19" s="41" t="s">
        <v>25</v>
      </c>
      <c r="F19" s="50">
        <v>44669</v>
      </c>
      <c r="G19" s="51">
        <v>44922</v>
      </c>
      <c r="H19" s="45">
        <v>5</v>
      </c>
      <c r="I19" s="10">
        <v>3</v>
      </c>
      <c r="J19" s="9">
        <v>3</v>
      </c>
      <c r="K19" s="9">
        <v>3</v>
      </c>
      <c r="L19" s="9">
        <v>3</v>
      </c>
      <c r="M19" s="9">
        <v>5</v>
      </c>
      <c r="N19" s="24">
        <v>5</v>
      </c>
      <c r="O19" s="31">
        <f t="shared" si="2"/>
        <v>4</v>
      </c>
      <c r="P19" s="37" t="str">
        <f t="shared" si="1"/>
        <v>BUENO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30" customHeight="1" x14ac:dyDescent="0.3">
      <c r="A20" s="35">
        <v>9</v>
      </c>
      <c r="B20" s="84" t="s">
        <v>26</v>
      </c>
      <c r="C20" s="67"/>
      <c r="D20" s="67"/>
      <c r="E20" s="41" t="s">
        <v>27</v>
      </c>
      <c r="F20" s="50">
        <v>44669</v>
      </c>
      <c r="G20" s="51">
        <v>44922</v>
      </c>
      <c r="H20" s="44">
        <v>3</v>
      </c>
      <c r="I20" s="9">
        <v>3</v>
      </c>
      <c r="J20" s="9">
        <v>5</v>
      </c>
      <c r="K20" s="9">
        <v>3</v>
      </c>
      <c r="L20" s="9">
        <v>5</v>
      </c>
      <c r="M20" s="9">
        <v>4</v>
      </c>
      <c r="N20" s="24">
        <v>5</v>
      </c>
      <c r="O20" s="31">
        <f t="shared" si="2"/>
        <v>3.95</v>
      </c>
      <c r="P20" s="37" t="str">
        <f t="shared" si="1"/>
        <v>BUENO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30" customHeight="1" x14ac:dyDescent="0.3">
      <c r="A21" s="35">
        <v>10</v>
      </c>
      <c r="B21" s="84" t="s">
        <v>44</v>
      </c>
      <c r="C21" s="67"/>
      <c r="D21" s="67"/>
      <c r="E21" s="41" t="s">
        <v>45</v>
      </c>
      <c r="F21" s="50">
        <v>44669</v>
      </c>
      <c r="G21" s="51">
        <v>44922</v>
      </c>
      <c r="H21" s="45">
        <v>3</v>
      </c>
      <c r="I21" s="10">
        <v>3</v>
      </c>
      <c r="J21" s="9">
        <v>3</v>
      </c>
      <c r="K21" s="9">
        <v>3</v>
      </c>
      <c r="L21" s="9">
        <v>5</v>
      </c>
      <c r="M21" s="9">
        <v>3</v>
      </c>
      <c r="N21" s="24">
        <v>5</v>
      </c>
      <c r="O21" s="31">
        <f t="shared" si="2"/>
        <v>3.6000000000000005</v>
      </c>
      <c r="P21" s="37" t="str">
        <f t="shared" si="1"/>
        <v>BUENO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30" customHeight="1" x14ac:dyDescent="0.3">
      <c r="A22" s="35">
        <v>11</v>
      </c>
      <c r="B22" s="84" t="s">
        <v>22</v>
      </c>
      <c r="C22" s="67"/>
      <c r="D22" s="67"/>
      <c r="E22" s="41" t="s">
        <v>23</v>
      </c>
      <c r="F22" s="50">
        <v>44669</v>
      </c>
      <c r="G22" s="51">
        <v>44922</v>
      </c>
      <c r="H22" s="45">
        <v>5</v>
      </c>
      <c r="I22" s="10">
        <v>3</v>
      </c>
      <c r="J22" s="9">
        <v>3</v>
      </c>
      <c r="K22" s="9">
        <v>3</v>
      </c>
      <c r="L22" s="9">
        <v>3</v>
      </c>
      <c r="M22" s="9">
        <v>5</v>
      </c>
      <c r="N22" s="24">
        <v>5</v>
      </c>
      <c r="O22" s="31">
        <f t="shared" si="2"/>
        <v>4</v>
      </c>
      <c r="P22" s="37" t="str">
        <f t="shared" si="1"/>
        <v>BUENO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30" customHeight="1" thickBot="1" x14ac:dyDescent="0.35">
      <c r="A23" s="35">
        <v>12</v>
      </c>
      <c r="B23" s="81" t="s">
        <v>46</v>
      </c>
      <c r="C23" s="82"/>
      <c r="D23" s="82"/>
      <c r="E23" s="42" t="s">
        <v>47</v>
      </c>
      <c r="F23" s="52">
        <v>44669</v>
      </c>
      <c r="G23" s="53">
        <v>44922</v>
      </c>
      <c r="H23" s="46">
        <v>3</v>
      </c>
      <c r="I23" s="19">
        <v>3</v>
      </c>
      <c r="J23" s="20">
        <v>3</v>
      </c>
      <c r="K23" s="20">
        <v>3</v>
      </c>
      <c r="L23" s="20">
        <v>3</v>
      </c>
      <c r="M23" s="20">
        <v>3</v>
      </c>
      <c r="N23" s="25">
        <v>5</v>
      </c>
      <c r="O23" s="32">
        <f>(H23*H$11)+(I23*I$11)+(J23*J$11)+(K23*K$11)+(L23*L$11)+(M23*M$11)+(N23*$N$11)</f>
        <v>3.3</v>
      </c>
      <c r="P23" s="38" t="str">
        <f>IF(O23=0,"",IF(O23&gt;=4.1,"EXCELENTE",IF(O23&gt;=3,"BUENO",IF(O23&lt;2.9,"MALO"))))</f>
        <v>BUENO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30" customHeight="1" thickBot="1" x14ac:dyDescent="0.35">
      <c r="A24" s="35">
        <v>13</v>
      </c>
      <c r="B24" s="81" t="s">
        <v>52</v>
      </c>
      <c r="C24" s="82"/>
      <c r="D24" s="82"/>
      <c r="E24" s="42" t="s">
        <v>53</v>
      </c>
      <c r="F24" s="52">
        <v>44669</v>
      </c>
      <c r="G24" s="53">
        <v>44922</v>
      </c>
      <c r="H24" s="46">
        <v>3</v>
      </c>
      <c r="I24" s="19">
        <v>3</v>
      </c>
      <c r="J24" s="20">
        <v>1</v>
      </c>
      <c r="K24" s="20">
        <v>3</v>
      </c>
      <c r="L24" s="20">
        <v>3</v>
      </c>
      <c r="M24" s="20">
        <v>3</v>
      </c>
      <c r="N24" s="25">
        <v>5</v>
      </c>
      <c r="O24" s="32">
        <f>(H24*H$11)+(I24*I$11)+(J24*J$11)+(K24*K$11)+(L24*L$11)+(M24*M$11)+(N24*$N$11)</f>
        <v>3.1</v>
      </c>
      <c r="P24" s="38" t="str">
        <f>IF(O24=0,"",IF(O24&gt;=4.1,"EXCELENTE",IF(O24&gt;=3,"BUENO",IF(O24&lt;2.9,"MALO"))))</f>
        <v>BUENO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6" customHeight="1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8" customHeight="1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8" customHeight="1" x14ac:dyDescent="0.3">
      <c r="A27" s="75" t="s">
        <v>28</v>
      </c>
      <c r="B27" s="76"/>
      <c r="C27" s="76"/>
      <c r="D27" s="77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7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4.25" customHeight="1" x14ac:dyDescent="0.3">
      <c r="A28" s="7"/>
      <c r="B28" s="7"/>
      <c r="C28" s="7"/>
      <c r="D28" s="7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7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6.5" customHeight="1" x14ac:dyDescent="0.3">
      <c r="A29" s="78" t="s">
        <v>29</v>
      </c>
      <c r="B29" s="83" t="s">
        <v>30</v>
      </c>
      <c r="C29" s="76"/>
      <c r="D29" s="77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7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4.25" customHeight="1" x14ac:dyDescent="0.3">
      <c r="A30" s="79"/>
      <c r="B30" s="11">
        <v>1</v>
      </c>
      <c r="C30" s="12" t="s">
        <v>31</v>
      </c>
      <c r="D30" s="1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7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4.25" customHeight="1" x14ac:dyDescent="0.3">
      <c r="A31" s="79"/>
      <c r="B31" s="11">
        <v>3</v>
      </c>
      <c r="C31" s="12" t="s">
        <v>32</v>
      </c>
      <c r="D31" s="1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4.25" customHeight="1" x14ac:dyDescent="0.3">
      <c r="A32" s="79"/>
      <c r="B32" s="11">
        <v>5</v>
      </c>
      <c r="C32" s="12" t="s">
        <v>33</v>
      </c>
      <c r="D32" s="1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7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4.25" customHeight="1" x14ac:dyDescent="0.3">
      <c r="A33" s="79"/>
      <c r="B33" s="83" t="s">
        <v>34</v>
      </c>
      <c r="C33" s="76"/>
      <c r="D33" s="77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7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4.25" customHeight="1" x14ac:dyDescent="0.3">
      <c r="A34" s="79"/>
      <c r="B34" s="11" t="s">
        <v>35</v>
      </c>
      <c r="C34" s="12" t="s">
        <v>36</v>
      </c>
      <c r="D34" s="1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7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4.25" customHeight="1" x14ac:dyDescent="0.3">
      <c r="A35" s="79"/>
      <c r="B35" s="14" t="s">
        <v>37</v>
      </c>
      <c r="C35" s="12" t="s">
        <v>32</v>
      </c>
      <c r="D35" s="15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7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4.25" customHeight="1" x14ac:dyDescent="0.3">
      <c r="A36" s="80"/>
      <c r="B36" s="11" t="s">
        <v>38</v>
      </c>
      <c r="C36" s="12" t="s">
        <v>33</v>
      </c>
      <c r="D36" s="1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7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4.25" customHeight="1" x14ac:dyDescent="0.3">
      <c r="A37" s="7"/>
      <c r="B37" s="7"/>
      <c r="C37" s="7"/>
      <c r="D37" s="7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7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4.2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7" ht="29.2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8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7" ht="29.2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8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7" ht="29.2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8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7" ht="29.2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8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7" ht="29.2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8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7" ht="28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8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7" ht="32.25" customHeight="1" x14ac:dyDescent="0.3">
      <c r="A45" s="1"/>
      <c r="B45" s="1"/>
      <c r="C45" s="7"/>
      <c r="D45" s="7"/>
      <c r="E45" s="7"/>
      <c r="F45" s="7"/>
      <c r="G45" s="7"/>
      <c r="H45" s="7"/>
      <c r="I45" s="7"/>
      <c r="J45" s="7"/>
      <c r="K45" s="7"/>
      <c r="L45" s="8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7" ht="14.25" customHeight="1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4.2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4.2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4.2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4.2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4.2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4.2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4.2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4.2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4.2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4.2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4.2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4.2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4.2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4.2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4.2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4.2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4.2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4.2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4.2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4.2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4.2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4.2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4.2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4.2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</sheetData>
  <mergeCells count="24">
    <mergeCell ref="A27:D27"/>
    <mergeCell ref="A29:A36"/>
    <mergeCell ref="B23:D23"/>
    <mergeCell ref="B33:D33"/>
    <mergeCell ref="B15:D15"/>
    <mergeCell ref="B16:D16"/>
    <mergeCell ref="B17:D17"/>
    <mergeCell ref="B18:D18"/>
    <mergeCell ref="B29:D29"/>
    <mergeCell ref="B19:D19"/>
    <mergeCell ref="B20:D20"/>
    <mergeCell ref="B21:D21"/>
    <mergeCell ref="B22:D22"/>
    <mergeCell ref="B24:D24"/>
    <mergeCell ref="B12:D12"/>
    <mergeCell ref="B14:D14"/>
    <mergeCell ref="B13:D13"/>
    <mergeCell ref="H9:N9"/>
    <mergeCell ref="F9:G10"/>
    <mergeCell ref="A9:A11"/>
    <mergeCell ref="B9:D11"/>
    <mergeCell ref="E9:E11"/>
    <mergeCell ref="O9:O10"/>
    <mergeCell ref="P10:P11"/>
  </mergeCells>
  <conditionalFormatting sqref="P12:P22">
    <cfRule type="cellIs" dxfId="8" priority="7" operator="equal">
      <formula>"EXCELENTE"</formula>
    </cfRule>
    <cfRule type="cellIs" dxfId="7" priority="8" operator="equal">
      <formula>"MALO"</formula>
    </cfRule>
    <cfRule type="cellIs" dxfId="6" priority="9" operator="equal">
      <formula>"BUENO"</formula>
    </cfRule>
  </conditionalFormatting>
  <conditionalFormatting sqref="P23">
    <cfRule type="cellIs" dxfId="5" priority="4" operator="equal">
      <formula>"EXCELENTE"</formula>
    </cfRule>
    <cfRule type="cellIs" dxfId="4" priority="5" operator="equal">
      <formula>"MALO"</formula>
    </cfRule>
    <cfRule type="cellIs" dxfId="3" priority="6" operator="equal">
      <formula>"BUENO"</formula>
    </cfRule>
  </conditionalFormatting>
  <conditionalFormatting sqref="P24">
    <cfRule type="cellIs" dxfId="2" priority="1" operator="equal">
      <formula>"EXCELENTE"</formula>
    </cfRule>
    <cfRule type="cellIs" dxfId="1" priority="2" operator="equal">
      <formula>"MALO"</formula>
    </cfRule>
    <cfRule type="cellIs" dxfId="0" priority="3" operator="equal">
      <formula>"BUENO"</formula>
    </cfRule>
  </conditionalFormatting>
  <printOptions horizontalCentered="1"/>
  <pageMargins left="0.51181102362204722" right="0.51181102362204722" top="0.62992125984251968" bottom="0.47244094488188981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DF3D9-5929-48F6-8D71-AA05C0CC797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Evaluacion al 27-12-2022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Coayla Mendoza</dc:creator>
  <cp:lastModifiedBy>User</cp:lastModifiedBy>
  <dcterms:created xsi:type="dcterms:W3CDTF">2011-02-21T23:04:51Z</dcterms:created>
  <dcterms:modified xsi:type="dcterms:W3CDTF">2024-09-16T04:24:15Z</dcterms:modified>
</cp:coreProperties>
</file>