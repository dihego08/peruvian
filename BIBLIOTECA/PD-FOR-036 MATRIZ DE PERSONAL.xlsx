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ONLY ME\PD\SIG\"/>
    </mc:Choice>
  </mc:AlternateContent>
  <xr:revisionPtr revIDLastSave="0" documentId="13_ncr:1_{DA5E12E7-0AE8-4EBB-BB09-DAFA82667618}" xr6:coauthVersionLast="47" xr6:coauthVersionMax="47" xr10:uidLastSave="{00000000-0000-0000-0000-000000000000}"/>
  <bookViews>
    <workbookView xWindow="-108" yWindow="168" windowWidth="17280" windowHeight="8964" xr2:uid="{BFCE0501-D720-4DB9-B1A2-356093F74DE7}"/>
  </bookViews>
  <sheets>
    <sheet name="Matriz de Personal" sheetId="2" r:id="rId1"/>
    <sheet name="Item evaluatori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1" i="2" l="1"/>
  <c r="A12" i="2" s="1"/>
  <c r="A13" i="2" s="1"/>
  <c r="A14" i="2" s="1"/>
  <c r="A15" i="2" s="1"/>
  <c r="A16" i="2" s="1"/>
  <c r="A17" i="2" s="1"/>
  <c r="A18" i="2" s="1"/>
  <c r="A20" i="2" s="1"/>
  <c r="A21" i="2" l="1"/>
  <c r="A22" i="2" s="1"/>
  <c r="A23" i="2" s="1"/>
  <c r="A24" i="2" s="1"/>
  <c r="A25" i="2" s="1"/>
  <c r="A26" i="2" s="1"/>
</calcChain>
</file>

<file path=xl/sharedStrings.xml><?xml version="1.0" encoding="utf-8"?>
<sst xmlns="http://schemas.openxmlformats.org/spreadsheetml/2006/main" count="208" uniqueCount="88">
  <si>
    <t>Nombre del trabajador</t>
  </si>
  <si>
    <t>Area</t>
  </si>
  <si>
    <t>Cargo</t>
  </si>
  <si>
    <t>ORELLANO HUAMANI MARIA ALEJANDRA</t>
  </si>
  <si>
    <t>CHAMBI ALVAREZ DE MENDOZA ANA BEATRIZ</t>
  </si>
  <si>
    <t>QUISPE PUMA GRACIELA INES</t>
  </si>
  <si>
    <t>AUCAHUAQUI CCACYALLA JULIA LUZ</t>
  </si>
  <si>
    <t>QUISPE MAMANI NOEMI CEFERINA</t>
  </si>
  <si>
    <t>MENDOZA YUCRA OMAR JAVIER</t>
  </si>
  <si>
    <t>CUSI TRIVEÑO MATILDE</t>
  </si>
  <si>
    <t>ESPINOZA ARENAS ERIKA MARIUSKA</t>
  </si>
  <si>
    <t>QUISPE QUICO ROXANA MAGALI</t>
  </si>
  <si>
    <t>TICONA ANCCO LADY LIZ</t>
  </si>
  <si>
    <t xml:space="preserve">Fecha seguimiento
</t>
  </si>
  <si>
    <t>Puntaje</t>
  </si>
  <si>
    <t>Objetivo</t>
  </si>
  <si>
    <t>Observaciones</t>
  </si>
  <si>
    <t>Confeccion</t>
  </si>
  <si>
    <t>Operario de ensamble</t>
  </si>
  <si>
    <t>Supervisor de confecciones</t>
  </si>
  <si>
    <t>Evaluacion de Desempeño</t>
  </si>
  <si>
    <t>Item a evaluar</t>
  </si>
  <si>
    <t>Coordinador SIG/Supervisor de seguridad</t>
  </si>
  <si>
    <t>Inspector de Calidad</t>
  </si>
  <si>
    <t>Evaluación de Conocimientos</t>
  </si>
  <si>
    <t>INGRESO</t>
  </si>
  <si>
    <t>SOSA LOPEZ RUTH</t>
  </si>
  <si>
    <t>SALGADO QUISPE NARCISA</t>
  </si>
  <si>
    <t>SUCA CHURA IRENE</t>
  </si>
  <si>
    <t>SALGADO QUISPE JUANA MARINA</t>
  </si>
  <si>
    <t>FLORES ALEJO ELIZABETH KETTY</t>
  </si>
  <si>
    <t>CONDORI QUISPE WILBERT DOMINGO</t>
  </si>
  <si>
    <t>Administrativa</t>
  </si>
  <si>
    <t>Supervisor de mantenimiento</t>
  </si>
  <si>
    <t>Jefe de Gestión de talento humano/Jefe de Ingenieria de confecciones</t>
  </si>
  <si>
    <t>[2,6 - 4]</t>
  </si>
  <si>
    <t xml:space="preserve"> </t>
  </si>
  <si>
    <t>[13-22]</t>
  </si>
  <si>
    <t>Limpieza</t>
  </si>
  <si>
    <t xml:space="preserve">Limpieza </t>
  </si>
  <si>
    <t>SI</t>
  </si>
  <si>
    <t xml:space="preserve"> Limpieza </t>
  </si>
  <si>
    <t>Repasar terminología</t>
  </si>
  <si>
    <t>Se incluye al personal y se le motiva a participar de la limpieza diaria de sus areas de trabajo, permite identificar el compromiso con la metodologia 5'S, ademas de matener organizado el ambiente</t>
  </si>
  <si>
    <t>Permite identificar la eficacia y efecto de las inducciones y capacitaciones, además de temas tecnicos que pueden evaluarse mediante un examen escrito.</t>
  </si>
  <si>
    <t>Realizar una vez al año, permite medir las competencias y desenvolvimiento del trabajador.</t>
  </si>
  <si>
    <t>ANALISTA DE DISEÑO Y PATRONAJE</t>
  </si>
  <si>
    <t>Evaluación Medico Ocupacional</t>
  </si>
  <si>
    <t>Proxima fecha de EMO</t>
  </si>
  <si>
    <t>Entrega de EMO</t>
  </si>
  <si>
    <t>Repasar aspectos generales del SIG</t>
  </si>
  <si>
    <t>KATHERINE ANDREA RIOS PEÑA</t>
  </si>
  <si>
    <t>pendiente levantamiento de obs (uso de lentes)</t>
  </si>
  <si>
    <t>Evaluación cada 2 años, facilita el seguimiento de la salud de los colaboradores y la detección de enfermedades producidas resultado de la acticvidad laboral</t>
  </si>
  <si>
    <t>uso de lentes</t>
  </si>
  <si>
    <t>uso de protector auditivo</t>
  </si>
  <si>
    <t>Pendiente obs uso de lentes</t>
  </si>
  <si>
    <t xml:space="preserve">Pendiente obs </t>
  </si>
  <si>
    <t>uso de lentes y protector auditivo</t>
  </si>
  <si>
    <t>uso de protector auditivos</t>
  </si>
  <si>
    <t>usar lentes</t>
  </si>
  <si>
    <t>[12-16]</t>
  </si>
  <si>
    <t>induccion</t>
  </si>
  <si>
    <t>ROCIO MERIDA HUAMAN VILLAFUERTE</t>
  </si>
  <si>
    <t>Direccion</t>
  </si>
  <si>
    <t>MALECON CHORRILLOS 305-PAUCARPATA</t>
  </si>
  <si>
    <t>Calle Belén 321 Jerusalen Mariano Melgar</t>
  </si>
  <si>
    <t>El Salvador MZ. K LT. 28-Miraflores-Arequipa</t>
  </si>
  <si>
    <t>Avenida Jesús 1996-Paucarpata-Arequipa</t>
  </si>
  <si>
    <t>Buena Vista 2 "A6"-Paucarpata-Arequipa</t>
  </si>
  <si>
    <t>taller buena vista pozo negro Mza. O´ Lte 3 Paucarpata-Arequipa</t>
  </si>
  <si>
    <t>PPJJ MIGUEL GRAU CALLE PUCALLPA ZON B MZ 31 LT 3</t>
  </si>
  <si>
    <t>URB. PABLO VI MZ. J LT. 13 ETPA. II</t>
  </si>
  <si>
    <t>Jr. primavera mz K lote 4 campo marte</t>
  </si>
  <si>
    <t>Calle Belén PUEBLO J. Jerusalen MZ. B LT. 9 -  Mariano Melgar</t>
  </si>
  <si>
    <t>CALLE OLIMPICA 602 ALTO SAN MARTIN</t>
  </si>
  <si>
    <t>AV. OLIMPICA 602 ALTO SAN MARTIN</t>
  </si>
  <si>
    <t>PPJJ MIGUEL GRAU SECTOR A MZ 04 LT. 04 CALLE SAN MIGUEL 103</t>
  </si>
  <si>
    <t>SAN MARTIN 109-A JERUSALEN MZ L LT. 5A</t>
  </si>
  <si>
    <t>AA. HH. BERLIN ZN2-MARIANO MELGAR MZ G LT. 2</t>
  </si>
  <si>
    <t>ASOCIACIÓN PUEBLO LIBRE MZ F LT 1</t>
  </si>
  <si>
    <t>DNI</t>
  </si>
  <si>
    <t>Gerente General/Jefe Comercial/Encargado de Corte</t>
  </si>
  <si>
    <t>Av. Panama 127 Mariano Melgar</t>
  </si>
  <si>
    <t>Manual de ensamble</t>
  </si>
  <si>
    <t>TANIA EVELYN QUISPE QUISPE</t>
  </si>
  <si>
    <t xml:space="preserve"> ASENT. H. SAN ANDRES MZ. A LT. 17 – MARIANO MELGAR</t>
  </si>
  <si>
    <t>OMCAR, ojo esta fuera de la planilla de Peruvian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</si>
</sst>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sz val="11"/>
      <color rgb="FF44546A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</cellStyleXfs>
  <cellXfs count="71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3" fillId="0" borderId="5" xfId="2" applyBorder="1" applyAlignment="1">
      <alignment horizontal="center" vertical="center" wrapText="1"/>
    </xf>
    <xf numFmtId="14" fontId="3" fillId="0" borderId="5" xfId="2" applyNumberForma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2" fillId="4" borderId="5" xfId="1" applyFill="1" applyBorder="1"/>
    <xf numFmtId="0" fontId="3" fillId="5" borderId="9" xfId="2" applyFill="1" applyBorder="1" applyAlignment="1">
      <alignment horizontal="center" vertical="center" wrapText="1"/>
    </xf>
    <xf numFmtId="0" fontId="0" fillId="0" borderId="0" xfId="0"/>
    <xf numFmtId="0" fontId="3" fillId="5" borderId="13" xfId="2" applyFill="1" applyBorder="1" applyAlignment="1">
      <alignment horizontal="center" vertical="center" wrapText="1"/>
    </xf>
    <xf numFmtId="0" fontId="3" fillId="5" borderId="14" xfId="2" applyFill="1" applyBorder="1" applyAlignment="1">
      <alignment horizontal="center" vertical="center" wrapText="1"/>
    </xf>
    <xf numFmtId="0" fontId="3" fillId="0" borderId="5" xfId="2" applyBorder="1" applyAlignment="1">
      <alignment horizontal="center" vertical="center" wrapText="1"/>
    </xf>
    <xf numFmtId="14" fontId="3" fillId="0" borderId="5" xfId="2" applyNumberFormat="1" applyBorder="1" applyAlignment="1">
      <alignment horizontal="center" vertical="center" wrapText="1"/>
    </xf>
    <xf numFmtId="0" fontId="0" fillId="0" borderId="0" xfId="0"/>
    <xf numFmtId="0" fontId="1" fillId="2" borderId="6" xfId="3" applyBorder="1" applyAlignment="1">
      <alignment horizontal="center" vertical="center" wrapText="1"/>
    </xf>
    <xf numFmtId="0" fontId="3" fillId="0" borderId="6" xfId="2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0" fillId="0" borderId="5" xfId="0" applyBorder="1"/>
    <xf numFmtId="14" fontId="0" fillId="0" borderId="5" xfId="0" applyNumberFormat="1" applyBorder="1"/>
    <xf numFmtId="0" fontId="3" fillId="0" borderId="5" xfId="2" applyFill="1" applyBorder="1" applyAlignment="1">
      <alignment horizontal="center" vertical="center" wrapText="1"/>
    </xf>
    <xf numFmtId="0" fontId="3" fillId="5" borderId="0" xfId="2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wrapText="1"/>
    </xf>
    <xf numFmtId="0" fontId="3" fillId="5" borderId="16" xfId="2" applyFill="1" applyBorder="1" applyAlignment="1">
      <alignment horizontal="center" vertical="center" wrapText="1"/>
    </xf>
    <xf numFmtId="0" fontId="3" fillId="5" borderId="17" xfId="2" applyFill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wrapText="1"/>
    </xf>
    <xf numFmtId="14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" fontId="0" fillId="0" borderId="5" xfId="0" applyNumberFormat="1" applyBorder="1"/>
    <xf numFmtId="0" fontId="11" fillId="0" borderId="5" xfId="0" applyFont="1" applyBorder="1"/>
    <xf numFmtId="0" fontId="11" fillId="0" borderId="0" xfId="0" applyFont="1"/>
    <xf numFmtId="0" fontId="12" fillId="0" borderId="5" xfId="2" applyFont="1" applyBorder="1" applyAlignment="1">
      <alignment horizontal="center" vertical="center" wrapText="1"/>
    </xf>
    <xf numFmtId="14" fontId="12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0" fontId="0" fillId="0" borderId="0" xfId="0"/>
    <xf numFmtId="0" fontId="4" fillId="0" borderId="3" xfId="0" applyFont="1" applyBorder="1"/>
    <xf numFmtId="0" fontId="5" fillId="0" borderId="3" xfId="0" applyFont="1" applyBorder="1"/>
    <xf numFmtId="0" fontId="0" fillId="0" borderId="0" xfId="0"/>
    <xf numFmtId="0" fontId="5" fillId="0" borderId="4" xfId="0" applyFont="1" applyBorder="1"/>
    <xf numFmtId="0" fontId="6" fillId="3" borderId="3" xfId="0" applyFont="1" applyFill="1" applyBorder="1" applyAlignment="1">
      <alignment horizontal="center" wrapText="1"/>
    </xf>
    <xf numFmtId="0" fontId="5" fillId="0" borderId="0" xfId="0" applyFont="1"/>
    <xf numFmtId="0" fontId="1" fillId="2" borderId="6" xfId="3" applyBorder="1" applyAlignment="1">
      <alignment horizontal="center" vertical="center" wrapText="1"/>
    </xf>
    <xf numFmtId="14" fontId="1" fillId="2" borderId="6" xfId="3" applyNumberFormat="1" applyBorder="1" applyAlignment="1">
      <alignment horizontal="center" vertical="center" wrapText="1"/>
    </xf>
    <xf numFmtId="0" fontId="2" fillId="4" borderId="7" xfId="1" applyFill="1" applyBorder="1" applyAlignment="1">
      <alignment horizontal="center"/>
    </xf>
    <xf numFmtId="0" fontId="2" fillId="4" borderId="8" xfId="1" applyFill="1" applyBorder="1" applyAlignment="1">
      <alignment horizontal="center"/>
    </xf>
    <xf numFmtId="0" fontId="2" fillId="4" borderId="10" xfId="1" applyFill="1" applyBorder="1" applyAlignment="1">
      <alignment horizontal="center"/>
    </xf>
    <xf numFmtId="0" fontId="2" fillId="4" borderId="11" xfId="1" applyFill="1" applyBorder="1" applyAlignment="1">
      <alignment horizontal="center"/>
    </xf>
    <xf numFmtId="0" fontId="2" fillId="4" borderId="12" xfId="1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2" fillId="4" borderId="5" xfId="1" applyFill="1" applyBorder="1" applyAlignment="1">
      <alignment horizontal="center"/>
    </xf>
    <xf numFmtId="0" fontId="7" fillId="0" borderId="15" xfId="0" applyFont="1" applyBorder="1" applyAlignment="1">
      <alignment horizontal="right"/>
    </xf>
    <xf numFmtId="14" fontId="3" fillId="0" borderId="5" xfId="2" applyNumberFormat="1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 applyAlignment="1">
      <alignment horizontal="center" vertical="center" wrapText="1"/>
    </xf>
    <xf numFmtId="0" fontId="7" fillId="0" borderId="0" xfId="0" applyFont="1"/>
    <xf numFmtId="0" fontId="3" fillId="0" borderId="9" xfId="2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5" xfId="0" applyFont="1" applyBorder="1" applyAlignment="1">
      <alignment wrapText="1"/>
    </xf>
    <xf numFmtId="0" fontId="0" fillId="0" borderId="0" xfId="0" applyBorder="1" applyAlignment="1">
      <alignment wrapText="1"/>
    </xf>
  </cellXfs>
  <cellStyles count="4">
    <cellStyle name="40% - Énfasis5" xfId="3" builtinId="47"/>
    <cellStyle name="Normal" xfId="0" builtinId="0"/>
    <cellStyle name="Título 2" xfId="1" builtinId="17"/>
    <cellStyle name="Título 3" xfId="2" builtinId="18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la 1" pivot="0" count="0" xr9:uid="{545B2A39-6376-4463-9223-70F6FC2AE9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200025</xdr:colOff>
      <xdr:row>0</xdr:row>
      <xdr:rowOff>47625</xdr:rowOff>
    </xdr:from>
    <xdr:ext cx="7410450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9F0E15BD-B4AD-4FD6-B9A3-D76766FD6710}"/>
            </a:ext>
          </a:extLst>
        </xdr:cNvPr>
        <xdr:cNvGrpSpPr/>
      </xdr:nvGrpSpPr>
      <xdr:grpSpPr>
        <a:xfrm>
          <a:off x="5969454" y="47625"/>
          <a:ext cx="7410450" cy="800100"/>
          <a:chOff x="1639823" y="3379950"/>
          <a:chExt cx="7412354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9C5725AA-3594-F7C4-2EEA-1EE3500A771F}"/>
              </a:ext>
            </a:extLst>
          </xdr:cNvPr>
          <xdr:cNvGrpSpPr/>
        </xdr:nvGrpSpPr>
        <xdr:grpSpPr>
          <a:xfrm>
            <a:off x="1639823" y="3379950"/>
            <a:ext cx="7412354" cy="800100"/>
            <a:chOff x="1395983" y="3379950"/>
            <a:chExt cx="7412354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50FF44F3-4F85-9663-45DB-C2C981A30BDA}"/>
                </a:ext>
              </a:extLst>
            </xdr:cNvPr>
            <xdr:cNvSpPr/>
          </xdr:nvSpPr>
          <xdr:spPr>
            <a:xfrm>
              <a:off x="139598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D3E8E7EC-90C0-2A6C-EC34-4D14E1927FF0}"/>
                </a:ext>
              </a:extLst>
            </xdr:cNvPr>
            <xdr:cNvGrpSpPr/>
          </xdr:nvGrpSpPr>
          <xdr:grpSpPr>
            <a:xfrm>
              <a:off x="1395983" y="3379950"/>
              <a:ext cx="7412354" cy="800100"/>
              <a:chOff x="1738702" y="70945"/>
              <a:chExt cx="6193053" cy="1090824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BC38D363-6C80-9C69-23C2-28C3E1765969}"/>
                  </a:ext>
                </a:extLst>
              </xdr:cNvPr>
              <xdr:cNvSpPr/>
            </xdr:nvSpPr>
            <xdr:spPr>
              <a:xfrm>
                <a:off x="2146160" y="70945"/>
                <a:ext cx="5785575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C49CED69-7B47-CB7E-611F-9078F3B6E5FC}"/>
                  </a:ext>
                </a:extLst>
              </xdr:cNvPr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800"/>
                  <a:buFont typeface="Arial"/>
                  <a:buNone/>
                </a:pPr>
                <a:r>
                  <a:rPr lang="en-US" sz="8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29/08/2022</a:t>
                </a:r>
                <a:endParaRPr sz="1400"/>
              </a:p>
            </xdr:txBody>
          </xdr:sp>
          <xdr:grpSp>
            <xdr:nvGrpSpPr>
              <xdr:cNvPr id="8" name="Shape 8">
                <a:extLst>
                  <a:ext uri="{FF2B5EF4-FFF2-40B4-BE49-F238E27FC236}">
                    <a16:creationId xmlns:a16="http://schemas.microsoft.com/office/drawing/2014/main" id="{234CAA9E-ACF8-5E4F-D8B5-EE9AA8577D37}"/>
                  </a:ext>
                </a:extLst>
              </xdr:cNvPr>
              <xdr:cNvGrpSpPr/>
            </xdr:nvGrpSpPr>
            <xdr:grpSpPr>
              <a:xfrm>
                <a:off x="1738702" y="70945"/>
                <a:ext cx="6193053" cy="1090824"/>
                <a:chOff x="1738702" y="70945"/>
                <a:chExt cx="6193053" cy="1090824"/>
              </a:xfrm>
            </xdr:grpSpPr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28FBDA0C-62CB-F1FE-CB52-BABF9EA16CCB}"/>
                    </a:ext>
                  </a:extLst>
                </xdr:cNvPr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rPr lang="es-ES" sz="1400"/>
                    <a:t>PD-FOR-036</a:t>
                  </a:r>
                  <a:endParaRPr sz="1400"/>
                </a:p>
              </xdr:txBody>
            </xdr:sp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134CF945-8AD7-C2DF-9546-3B0DD909F0CB}"/>
                    </a:ext>
                  </a:extLst>
                </xdr:cNvPr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25400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C1424B25-DD0F-1300-4223-9FD08DDBEE0A}"/>
                    </a:ext>
                  </a:extLst>
                </xdr:cNvPr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25400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2" name="Shape 12">
                  <a:extLst>
                    <a:ext uri="{FF2B5EF4-FFF2-40B4-BE49-F238E27FC236}">
                      <a16:creationId xmlns:a16="http://schemas.microsoft.com/office/drawing/2014/main" id="{4F6745F8-7AE2-588E-FCF5-8AD8C5636D42}"/>
                    </a:ext>
                  </a:extLst>
                </xdr:cNvPr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25400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3" name="Shape 13">
                  <a:extLst>
                    <a:ext uri="{FF2B5EF4-FFF2-40B4-BE49-F238E27FC236}">
                      <a16:creationId xmlns:a16="http://schemas.microsoft.com/office/drawing/2014/main" id="{29F101EB-2318-AEEB-F677-A09679DCE389}"/>
                    </a:ext>
                  </a:extLst>
                </xdr:cNvPr>
                <xdr:cNvSpPr/>
              </xdr:nvSpPr>
              <xdr:spPr>
                <a:xfrm>
                  <a:off x="5323876" y="828817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25400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F7AD1E22-8440-576E-E6C5-593BE2D356D8}"/>
                    </a:ext>
                  </a:extLst>
                </xdr:cNvPr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</a:t>
                  </a: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:</a:t>
                  </a:r>
                  <a:endParaRPr sz="1400"/>
                </a:p>
              </xdr:txBody>
            </xdr:sp>
            <xdr:sp macro="" textlink="">
              <xdr:nvSpPr>
                <xdr:cNvPr id="15" name="Shape 15">
                  <a:extLst>
                    <a:ext uri="{FF2B5EF4-FFF2-40B4-BE49-F238E27FC236}">
                      <a16:creationId xmlns:a16="http://schemas.microsoft.com/office/drawing/2014/main" id="{DCA66674-3877-CA9F-13C0-FCC93EC6B77C}"/>
                    </a:ext>
                  </a:extLst>
                </xdr:cNvPr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</a:t>
                  </a: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:</a:t>
                  </a:r>
                  <a:endParaRPr sz="1400"/>
                </a:p>
              </xdr:txBody>
            </xdr:sp>
            <xdr:sp macro="" textlink="">
              <xdr:nvSpPr>
                <xdr:cNvPr id="16" name="Shape 16">
                  <a:extLst>
                    <a:ext uri="{FF2B5EF4-FFF2-40B4-BE49-F238E27FC236}">
                      <a16:creationId xmlns:a16="http://schemas.microsoft.com/office/drawing/2014/main" id="{528EAA9A-CF82-2CF1-BE7C-19BF7855C49F}"/>
                    </a:ext>
                  </a:extLst>
                </xdr:cNvPr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17" name="Shape 17">
                  <a:extLst>
                    <a:ext uri="{FF2B5EF4-FFF2-40B4-BE49-F238E27FC236}">
                      <a16:creationId xmlns:a16="http://schemas.microsoft.com/office/drawing/2014/main" id="{CECC2B2D-EB91-2952-D3B5-6B84085BCAAE}"/>
                    </a:ext>
                  </a:extLst>
                </xdr:cNvPr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001</a:t>
                  </a:r>
                  <a:endParaRPr sz="1400"/>
                </a:p>
              </xdr:txBody>
            </xdr:sp>
            <xdr:sp macro="" textlink="">
              <xdr:nvSpPr>
                <xdr:cNvPr id="18" name="Shape 18">
                  <a:extLst>
                    <a:ext uri="{FF2B5EF4-FFF2-40B4-BE49-F238E27FC236}">
                      <a16:creationId xmlns:a16="http://schemas.microsoft.com/office/drawing/2014/main" id="{D112707A-1C51-D2E0-50CE-86ED4B73D2B6}"/>
                    </a:ext>
                  </a:extLst>
                </xdr:cNvPr>
                <xdr:cNvSpPr/>
              </xdr:nvSpPr>
              <xdr:spPr>
                <a:xfrm>
                  <a:off x="6243533" y="515571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25400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9" name="Shape 19">
                  <a:extLst>
                    <a:ext uri="{FF2B5EF4-FFF2-40B4-BE49-F238E27FC236}">
                      <a16:creationId xmlns:a16="http://schemas.microsoft.com/office/drawing/2014/main" id="{D8228E0E-1DB9-1753-DBFE-6EA74F825547}"/>
                    </a:ext>
                  </a:extLst>
                </xdr:cNvPr>
                <xdr:cNvSpPr/>
              </xdr:nvSpPr>
              <xdr:spPr>
                <a:xfrm>
                  <a:off x="6248172" y="887937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25400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800"/>
                    <a:buFont typeface="Arial"/>
                    <a:buNone/>
                  </a:pPr>
                  <a:endParaRPr sz="800"/>
                </a:p>
              </xdr:txBody>
            </xdr:sp>
            <xdr:sp macro="" textlink="">
              <xdr:nvSpPr>
                <xdr:cNvPr id="20" name="Shape 20">
                  <a:extLst>
                    <a:ext uri="{FF2B5EF4-FFF2-40B4-BE49-F238E27FC236}">
                      <a16:creationId xmlns:a16="http://schemas.microsoft.com/office/drawing/2014/main" id="{E6B6BFD7-4BC9-D51D-F674-6CF3A395FEC1}"/>
                    </a:ext>
                  </a:extLst>
                </xdr:cNvPr>
                <xdr:cNvSpPr txBox="1"/>
              </xdr:nvSpPr>
              <xdr:spPr>
                <a:xfrm>
                  <a:off x="1738702" y="82923"/>
                  <a:ext cx="3541079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MATRIZ DE PERSONAL</a:t>
                  </a:r>
                  <a:endParaRPr sz="1400"/>
                </a:p>
              </xdr:txBody>
            </xdr:sp>
          </xdr:grpSp>
        </xdr:grpSp>
      </xdr:grpSp>
    </xdr:grpSp>
    <xdr:clientData fLocksWithSheet="0"/>
  </xdr:oneCellAnchor>
  <xdr:oneCellAnchor>
    <xdr:from>
      <xdr:col>1</xdr:col>
      <xdr:colOff>158115</xdr:colOff>
      <xdr:row>0</xdr:row>
      <xdr:rowOff>68580</xdr:rowOff>
    </xdr:from>
    <xdr:ext cx="1323975" cy="723900"/>
    <xdr:pic>
      <xdr:nvPicPr>
        <xdr:cNvPr id="21" name="image1.png">
          <a:extLst>
            <a:ext uri="{FF2B5EF4-FFF2-40B4-BE49-F238E27FC236}">
              <a16:creationId xmlns:a16="http://schemas.microsoft.com/office/drawing/2014/main" id="{11121BD3-D7F1-4CAD-8830-4A0E736712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0595" y="251460"/>
          <a:ext cx="1323975" cy="723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C9FB3-2C77-4106-9794-3F3B7582E617}">
  <sheetPr codeName="Hoja1"/>
  <dimension ref="A1:T33"/>
  <sheetViews>
    <sheetView tabSelected="1" topLeftCell="A22" zoomScale="70" zoomScaleNormal="70" workbookViewId="0">
      <selection activeCell="C35" sqref="C35"/>
    </sheetView>
  </sheetViews>
  <sheetFormatPr baseColWidth="10" defaultRowHeight="14.4" x14ac:dyDescent="0.3"/>
  <cols>
    <col min="3" max="3" width="30.44140625" customWidth="1"/>
    <col min="4" max="4" width="30.44140625" style="16" customWidth="1"/>
    <col min="5" max="5" width="11.5546875" customWidth="1"/>
    <col min="6" max="6" width="28.77734375" customWidth="1"/>
    <col min="7" max="8" width="11.5546875" customWidth="1"/>
    <col min="9" max="9" width="13.88671875" customWidth="1"/>
    <col min="10" max="11" width="11.5546875" customWidth="1"/>
    <col min="12" max="12" width="14.21875" customWidth="1"/>
    <col min="13" max="13" width="11.5546875" customWidth="1"/>
    <col min="14" max="14" width="14.21875" customWidth="1"/>
    <col min="15" max="19" width="11.5546875" customWidth="1"/>
    <col min="20" max="20" width="34.5546875" style="25" customWidth="1"/>
  </cols>
  <sheetData>
    <row r="1" spans="1:20" x14ac:dyDescent="0.3">
      <c r="A1" s="2"/>
      <c r="B1" s="41"/>
      <c r="C1" s="42"/>
      <c r="D1" s="42"/>
      <c r="E1" s="42"/>
      <c r="F1" s="42"/>
      <c r="G1" s="42"/>
      <c r="H1" s="42"/>
      <c r="I1" s="45"/>
      <c r="J1" s="42"/>
      <c r="K1" s="42"/>
      <c r="L1" s="42"/>
      <c r="M1" s="42"/>
      <c r="N1" s="1"/>
    </row>
    <row r="2" spans="1:20" x14ac:dyDescent="0.3">
      <c r="A2" s="2"/>
      <c r="B2" s="43"/>
      <c r="C2" s="43"/>
      <c r="D2" s="43"/>
      <c r="E2" s="43"/>
      <c r="F2" s="43"/>
      <c r="G2" s="43"/>
      <c r="H2" s="43"/>
      <c r="I2" s="46"/>
      <c r="J2" s="43"/>
      <c r="K2" s="43"/>
      <c r="L2" s="43"/>
      <c r="M2" s="43"/>
      <c r="N2" s="1"/>
    </row>
    <row r="3" spans="1:20" x14ac:dyDescent="0.3">
      <c r="A3" s="2"/>
      <c r="B3" s="43"/>
      <c r="C3" s="43"/>
      <c r="D3" s="43"/>
      <c r="E3" s="43"/>
      <c r="F3" s="43"/>
      <c r="G3" s="43"/>
      <c r="H3" s="43"/>
      <c r="I3" s="46"/>
      <c r="J3" s="43"/>
      <c r="K3" s="43"/>
      <c r="L3" s="43"/>
      <c r="M3" s="43"/>
      <c r="N3" s="1"/>
    </row>
    <row r="4" spans="1:20" x14ac:dyDescent="0.3">
      <c r="A4" s="2"/>
      <c r="B4" s="43"/>
      <c r="C4" s="43"/>
      <c r="D4" s="43"/>
      <c r="E4" s="43"/>
      <c r="F4" s="43"/>
      <c r="G4" s="43"/>
      <c r="H4" s="43"/>
      <c r="I4" s="46"/>
      <c r="J4" s="43"/>
      <c r="K4" s="43"/>
      <c r="L4" s="43"/>
      <c r="M4" s="43"/>
      <c r="N4" s="1"/>
    </row>
    <row r="5" spans="1:20" x14ac:dyDescent="0.3">
      <c r="A5" s="2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1"/>
    </row>
    <row r="6" spans="1:20" x14ac:dyDescent="0.3">
      <c r="A6" s="2"/>
      <c r="B6" s="3"/>
      <c r="C6" s="3"/>
      <c r="D6" s="3"/>
      <c r="E6" s="4"/>
      <c r="F6" s="3"/>
      <c r="G6" s="3"/>
      <c r="H6" s="3"/>
      <c r="I6" s="3"/>
      <c r="J6" s="3"/>
      <c r="K6" s="3"/>
      <c r="L6" s="3"/>
      <c r="M6" s="3"/>
      <c r="N6" s="1"/>
    </row>
    <row r="7" spans="1:20" ht="35.4" customHeight="1" thickBot="1" x14ac:dyDescent="0.35">
      <c r="A7" s="2"/>
      <c r="B7" s="47" t="s">
        <v>13</v>
      </c>
      <c r="C7" s="47"/>
      <c r="D7" s="17"/>
      <c r="E7" s="48">
        <v>45093</v>
      </c>
      <c r="F7" s="47"/>
      <c r="G7" s="5"/>
      <c r="H7" s="5"/>
    </row>
    <row r="8" spans="1:20" ht="17.399999999999999" x14ac:dyDescent="0.35">
      <c r="B8" s="9"/>
      <c r="C8" s="49" t="s">
        <v>21</v>
      </c>
      <c r="D8" s="50"/>
      <c r="E8" s="50"/>
      <c r="F8" s="50"/>
      <c r="G8" s="51" t="s">
        <v>20</v>
      </c>
      <c r="H8" s="52"/>
      <c r="I8" s="53"/>
      <c r="J8" s="51" t="s">
        <v>24</v>
      </c>
      <c r="K8" s="52"/>
      <c r="L8" s="53"/>
      <c r="M8" s="51" t="s">
        <v>41</v>
      </c>
      <c r="N8" s="53"/>
      <c r="O8" s="51" t="s">
        <v>47</v>
      </c>
      <c r="P8" s="52"/>
      <c r="Q8" s="53"/>
    </row>
    <row r="9" spans="1:20" ht="43.2" x14ac:dyDescent="0.3">
      <c r="B9" s="10" t="s">
        <v>25</v>
      </c>
      <c r="C9" s="10" t="s">
        <v>0</v>
      </c>
      <c r="D9" s="10" t="s">
        <v>81</v>
      </c>
      <c r="E9" s="10" t="s">
        <v>1</v>
      </c>
      <c r="F9" s="26" t="s">
        <v>2</v>
      </c>
      <c r="G9" s="27" t="s">
        <v>14</v>
      </c>
      <c r="H9" s="12" t="s">
        <v>15</v>
      </c>
      <c r="I9" s="13" t="s">
        <v>16</v>
      </c>
      <c r="J9" s="27" t="s">
        <v>14</v>
      </c>
      <c r="K9" s="12" t="s">
        <v>15</v>
      </c>
      <c r="L9" s="13" t="s">
        <v>16</v>
      </c>
      <c r="M9" s="27" t="s">
        <v>38</v>
      </c>
      <c r="N9" s="13" t="s">
        <v>16</v>
      </c>
      <c r="O9" s="27" t="s">
        <v>49</v>
      </c>
      <c r="P9" s="12" t="s">
        <v>48</v>
      </c>
      <c r="Q9" s="13" t="s">
        <v>16</v>
      </c>
      <c r="R9" s="23" t="s">
        <v>62</v>
      </c>
      <c r="T9" s="23" t="s">
        <v>64</v>
      </c>
    </row>
    <row r="10" spans="1:20" ht="28.8" x14ac:dyDescent="0.3">
      <c r="A10">
        <v>1</v>
      </c>
      <c r="B10" s="7">
        <v>42339</v>
      </c>
      <c r="C10" s="6" t="s">
        <v>5</v>
      </c>
      <c r="D10" s="14">
        <v>42046347</v>
      </c>
      <c r="E10" s="8" t="s">
        <v>17</v>
      </c>
      <c r="F10" s="8" t="s">
        <v>19</v>
      </c>
      <c r="G10" s="8">
        <v>3.8</v>
      </c>
      <c r="H10" s="8" t="s">
        <v>35</v>
      </c>
      <c r="I10" s="8"/>
      <c r="J10" s="8">
        <v>21.5</v>
      </c>
      <c r="K10" s="8" t="s">
        <v>37</v>
      </c>
      <c r="L10" s="8"/>
      <c r="M10" s="8" t="s">
        <v>40</v>
      </c>
      <c r="N10" s="8"/>
      <c r="O10" s="8" t="s">
        <v>40</v>
      </c>
      <c r="P10" s="28">
        <v>45418</v>
      </c>
      <c r="Q10" s="29" t="s">
        <v>54</v>
      </c>
      <c r="R10" s="20"/>
      <c r="S10" s="20"/>
      <c r="T10" s="30" t="s">
        <v>65</v>
      </c>
    </row>
    <row r="11" spans="1:20" ht="28.8" x14ac:dyDescent="0.3">
      <c r="A11">
        <f>A10+1</f>
        <v>2</v>
      </c>
      <c r="B11" s="7">
        <v>42736</v>
      </c>
      <c r="C11" s="6" t="s">
        <v>6</v>
      </c>
      <c r="D11" s="14">
        <v>30676380</v>
      </c>
      <c r="E11" s="8" t="s">
        <v>17</v>
      </c>
      <c r="F11" s="8" t="s">
        <v>18</v>
      </c>
      <c r="G11" s="8">
        <v>3.7</v>
      </c>
      <c r="H11" s="8" t="s">
        <v>35</v>
      </c>
      <c r="I11" s="8"/>
      <c r="J11" s="8">
        <v>22</v>
      </c>
      <c r="K11" s="8" t="s">
        <v>37</v>
      </c>
      <c r="L11" s="8"/>
      <c r="M11" s="8" t="s">
        <v>40</v>
      </c>
      <c r="N11" s="8"/>
      <c r="O11" s="8" t="s">
        <v>40</v>
      </c>
      <c r="P11" s="28">
        <v>45418</v>
      </c>
      <c r="Q11" s="29" t="s">
        <v>54</v>
      </c>
      <c r="R11" s="20"/>
      <c r="S11" s="20"/>
      <c r="T11" s="30" t="s">
        <v>71</v>
      </c>
    </row>
    <row r="12" spans="1:20" ht="28.8" x14ac:dyDescent="0.3">
      <c r="A12" s="11">
        <f t="shared" ref="A12:A26" si="0">A11+1</f>
        <v>3</v>
      </c>
      <c r="B12" s="7">
        <v>44013</v>
      </c>
      <c r="C12" s="6" t="s">
        <v>8</v>
      </c>
      <c r="D12" s="14">
        <v>41555176</v>
      </c>
      <c r="E12" s="8" t="s">
        <v>32</v>
      </c>
      <c r="F12" s="8" t="s">
        <v>82</v>
      </c>
      <c r="G12" s="8">
        <v>3.9</v>
      </c>
      <c r="H12" s="8" t="s">
        <v>35</v>
      </c>
      <c r="I12" s="8"/>
      <c r="J12" s="8">
        <v>22</v>
      </c>
      <c r="K12" s="8" t="s">
        <v>37</v>
      </c>
      <c r="L12" s="8"/>
      <c r="M12" s="8" t="s">
        <v>40</v>
      </c>
      <c r="N12" s="8"/>
      <c r="O12" s="8" t="s">
        <v>40</v>
      </c>
      <c r="P12" s="31">
        <v>45092</v>
      </c>
      <c r="Q12" s="32"/>
      <c r="R12" s="20"/>
      <c r="S12" s="20"/>
      <c r="T12" s="30" t="s">
        <v>66</v>
      </c>
    </row>
    <row r="13" spans="1:20" ht="28.8" x14ac:dyDescent="0.3">
      <c r="A13" s="11">
        <f t="shared" si="0"/>
        <v>4</v>
      </c>
      <c r="B13" s="7">
        <v>44197</v>
      </c>
      <c r="C13" s="6" t="s">
        <v>7</v>
      </c>
      <c r="D13" s="14">
        <v>42752979</v>
      </c>
      <c r="E13" s="8" t="s">
        <v>17</v>
      </c>
      <c r="F13" s="8" t="s">
        <v>19</v>
      </c>
      <c r="G13" s="8">
        <v>3.7</v>
      </c>
      <c r="H13" s="8" t="s">
        <v>35</v>
      </c>
      <c r="I13" s="8" t="s">
        <v>36</v>
      </c>
      <c r="J13" s="8">
        <v>18</v>
      </c>
      <c r="K13" s="8" t="s">
        <v>37</v>
      </c>
      <c r="L13" s="8"/>
      <c r="M13" s="8" t="s">
        <v>40</v>
      </c>
      <c r="N13" s="8"/>
      <c r="O13" s="8" t="s">
        <v>40</v>
      </c>
      <c r="P13" s="28">
        <v>45458</v>
      </c>
      <c r="Q13" s="29"/>
      <c r="R13" s="20"/>
      <c r="S13" s="20"/>
      <c r="T13" s="30" t="s">
        <v>69</v>
      </c>
    </row>
    <row r="14" spans="1:20" ht="57.6" x14ac:dyDescent="0.3">
      <c r="A14" s="11">
        <f t="shared" si="0"/>
        <v>5</v>
      </c>
      <c r="B14" s="7">
        <v>44197</v>
      </c>
      <c r="C14" s="6" t="s">
        <v>9</v>
      </c>
      <c r="D14" s="14">
        <v>41800444</v>
      </c>
      <c r="E14" s="8" t="s">
        <v>17</v>
      </c>
      <c r="F14" s="8" t="s">
        <v>84</v>
      </c>
      <c r="G14" s="8">
        <v>3.67</v>
      </c>
      <c r="H14" s="8" t="s">
        <v>35</v>
      </c>
      <c r="I14" s="8"/>
      <c r="J14" s="8">
        <v>15</v>
      </c>
      <c r="K14" s="8" t="s">
        <v>37</v>
      </c>
      <c r="L14" s="8" t="s">
        <v>50</v>
      </c>
      <c r="M14" s="8" t="s">
        <v>40</v>
      </c>
      <c r="N14" s="8"/>
      <c r="O14" s="8" t="s">
        <v>40</v>
      </c>
      <c r="P14" s="28">
        <v>45458</v>
      </c>
      <c r="Q14" s="29" t="s">
        <v>55</v>
      </c>
      <c r="R14" s="20"/>
      <c r="S14" s="20"/>
      <c r="T14" s="30" t="s">
        <v>67</v>
      </c>
    </row>
    <row r="15" spans="1:20" ht="43.2" x14ac:dyDescent="0.3">
      <c r="A15" s="11">
        <f t="shared" si="0"/>
        <v>6</v>
      </c>
      <c r="B15" s="7">
        <v>44197</v>
      </c>
      <c r="C15" s="6" t="s">
        <v>11</v>
      </c>
      <c r="D15" s="14">
        <v>47876987</v>
      </c>
      <c r="E15" s="8" t="s">
        <v>17</v>
      </c>
      <c r="F15" s="8" t="s">
        <v>18</v>
      </c>
      <c r="G15" s="8">
        <v>3.71</v>
      </c>
      <c r="H15" s="8" t="s">
        <v>35</v>
      </c>
      <c r="I15" s="8"/>
      <c r="J15" s="8">
        <v>18</v>
      </c>
      <c r="K15" s="8" t="s">
        <v>37</v>
      </c>
      <c r="L15" s="8"/>
      <c r="M15" s="8" t="s">
        <v>40</v>
      </c>
      <c r="N15" s="8"/>
      <c r="O15" s="8" t="s">
        <v>40</v>
      </c>
      <c r="P15" s="28">
        <v>45458</v>
      </c>
      <c r="Q15" s="29" t="s">
        <v>56</v>
      </c>
      <c r="R15" s="20"/>
      <c r="S15" s="20"/>
      <c r="T15" s="30" t="s">
        <v>68</v>
      </c>
    </row>
    <row r="16" spans="1:20" ht="28.8" x14ac:dyDescent="0.3">
      <c r="A16" s="11">
        <f t="shared" si="0"/>
        <v>7</v>
      </c>
      <c r="B16" s="7">
        <v>44228</v>
      </c>
      <c r="C16" s="6" t="s">
        <v>4</v>
      </c>
      <c r="D16" s="14">
        <v>42409847</v>
      </c>
      <c r="E16" s="8" t="s">
        <v>17</v>
      </c>
      <c r="F16" s="8" t="s">
        <v>46</v>
      </c>
      <c r="G16" s="8">
        <v>3.67</v>
      </c>
      <c r="H16" s="8" t="s">
        <v>35</v>
      </c>
      <c r="I16" s="8"/>
      <c r="J16" s="8">
        <v>20.5</v>
      </c>
      <c r="K16" s="8" t="s">
        <v>37</v>
      </c>
      <c r="L16" s="8"/>
      <c r="M16" s="8" t="s">
        <v>40</v>
      </c>
      <c r="N16" s="8"/>
      <c r="O16" s="8" t="s">
        <v>40</v>
      </c>
      <c r="P16" s="28">
        <v>45446</v>
      </c>
      <c r="Q16" s="29"/>
      <c r="R16" s="20"/>
      <c r="S16" s="20"/>
      <c r="T16" s="30" t="s">
        <v>66</v>
      </c>
    </row>
    <row r="17" spans="1:20" s="35" customFormat="1" ht="28.8" x14ac:dyDescent="0.3">
      <c r="A17" s="35">
        <f t="shared" si="0"/>
        <v>8</v>
      </c>
      <c r="B17" s="37">
        <v>44348</v>
      </c>
      <c r="C17" s="36" t="s">
        <v>3</v>
      </c>
      <c r="D17" s="36">
        <v>75312338</v>
      </c>
      <c r="E17" s="38" t="s">
        <v>17</v>
      </c>
      <c r="F17" s="38" t="s">
        <v>18</v>
      </c>
      <c r="G17" s="38">
        <v>3.78</v>
      </c>
      <c r="H17" s="38" t="s">
        <v>35</v>
      </c>
      <c r="I17" s="38"/>
      <c r="J17" s="38">
        <v>19</v>
      </c>
      <c r="K17" s="38" t="s">
        <v>37</v>
      </c>
      <c r="L17" s="38"/>
      <c r="M17" s="38" t="s">
        <v>40</v>
      </c>
      <c r="N17" s="38"/>
      <c r="O17" s="38" t="s">
        <v>40</v>
      </c>
      <c r="P17" s="39">
        <v>45458</v>
      </c>
      <c r="Q17" s="68" t="s">
        <v>57</v>
      </c>
      <c r="R17" s="34"/>
      <c r="S17" s="34"/>
      <c r="T17" s="69" t="s">
        <v>70</v>
      </c>
    </row>
    <row r="18" spans="1:20" s="65" customFormat="1" x14ac:dyDescent="0.3">
      <c r="A18" s="56">
        <f t="shared" si="0"/>
        <v>9</v>
      </c>
      <c r="B18" s="57">
        <v>44593</v>
      </c>
      <c r="C18" s="58" t="s">
        <v>10</v>
      </c>
      <c r="D18" s="59">
        <v>40617101</v>
      </c>
      <c r="E18" s="8" t="s">
        <v>17</v>
      </c>
      <c r="F18" s="8" t="s">
        <v>23</v>
      </c>
      <c r="G18" s="8">
        <v>3.89</v>
      </c>
      <c r="H18" s="8" t="s">
        <v>35</v>
      </c>
      <c r="I18" s="8"/>
      <c r="J18" s="8">
        <v>22</v>
      </c>
      <c r="K18" s="8" t="s">
        <v>37</v>
      </c>
      <c r="L18" s="8"/>
      <c r="M18" s="8" t="s">
        <v>40</v>
      </c>
      <c r="N18" s="8"/>
      <c r="O18" s="60" t="s">
        <v>40</v>
      </c>
      <c r="P18" s="61">
        <v>45418</v>
      </c>
      <c r="Q18" s="62" t="s">
        <v>55</v>
      </c>
      <c r="R18" s="63"/>
      <c r="S18" s="63"/>
      <c r="T18" s="64" t="s">
        <v>83</v>
      </c>
    </row>
    <row r="19" spans="1:20" s="65" customFormat="1" ht="28.8" x14ac:dyDescent="0.3">
      <c r="A19" s="56"/>
      <c r="B19" s="57"/>
      <c r="C19" s="58"/>
      <c r="D19" s="66"/>
      <c r="E19" s="8" t="s">
        <v>17</v>
      </c>
      <c r="F19" s="8" t="s">
        <v>22</v>
      </c>
      <c r="G19" s="8">
        <v>3.89</v>
      </c>
      <c r="H19" s="8" t="s">
        <v>35</v>
      </c>
      <c r="I19" s="8"/>
      <c r="J19" s="8">
        <v>22</v>
      </c>
      <c r="K19" s="8" t="s">
        <v>37</v>
      </c>
      <c r="L19" s="8"/>
      <c r="M19" s="8" t="s">
        <v>40</v>
      </c>
      <c r="N19" s="8"/>
      <c r="O19" s="60"/>
      <c r="P19" s="61"/>
      <c r="Q19" s="62"/>
      <c r="R19" s="63"/>
      <c r="S19" s="63"/>
      <c r="T19" s="67"/>
    </row>
    <row r="20" spans="1:20" ht="28.8" x14ac:dyDescent="0.3">
      <c r="A20" s="11">
        <f>A18+1</f>
        <v>10</v>
      </c>
      <c r="B20" s="7">
        <v>44621</v>
      </c>
      <c r="C20" s="6" t="s">
        <v>12</v>
      </c>
      <c r="D20" s="14">
        <v>72039971</v>
      </c>
      <c r="E20" s="8" t="s">
        <v>17</v>
      </c>
      <c r="F20" s="8" t="s">
        <v>18</v>
      </c>
      <c r="G20" s="8">
        <v>3.75</v>
      </c>
      <c r="H20" s="8" t="s">
        <v>35</v>
      </c>
      <c r="I20" s="8"/>
      <c r="J20" s="8">
        <v>19.5</v>
      </c>
      <c r="K20" s="8" t="s">
        <v>37</v>
      </c>
      <c r="L20" s="8"/>
      <c r="M20" s="8" t="s">
        <v>40</v>
      </c>
      <c r="N20" s="8"/>
      <c r="O20" s="8" t="s">
        <v>40</v>
      </c>
      <c r="P20" s="28">
        <v>45470</v>
      </c>
      <c r="Q20" s="29" t="s">
        <v>54</v>
      </c>
      <c r="R20" s="20"/>
      <c r="S20" s="20"/>
      <c r="T20" s="30" t="s">
        <v>72</v>
      </c>
    </row>
    <row r="21" spans="1:20" ht="43.2" x14ac:dyDescent="0.3">
      <c r="A21" s="11">
        <f t="shared" si="0"/>
        <v>11</v>
      </c>
      <c r="B21" s="7">
        <v>44927</v>
      </c>
      <c r="C21" s="6" t="s">
        <v>26</v>
      </c>
      <c r="D21" s="14">
        <v>71637815</v>
      </c>
      <c r="E21" s="8" t="s">
        <v>32</v>
      </c>
      <c r="F21" s="8" t="s">
        <v>34</v>
      </c>
      <c r="G21" s="8"/>
      <c r="H21" s="8" t="s">
        <v>35</v>
      </c>
      <c r="I21" s="8"/>
      <c r="J21" s="8">
        <v>21.5</v>
      </c>
      <c r="K21" s="8" t="s">
        <v>37</v>
      </c>
      <c r="L21" s="8"/>
      <c r="M21" s="8" t="s">
        <v>40</v>
      </c>
      <c r="N21" s="8"/>
      <c r="O21" s="8" t="s">
        <v>40</v>
      </c>
      <c r="P21" s="28">
        <v>45762</v>
      </c>
      <c r="Q21" s="29" t="s">
        <v>54</v>
      </c>
      <c r="R21" s="20"/>
      <c r="S21" s="20"/>
      <c r="T21" s="30" t="s">
        <v>73</v>
      </c>
    </row>
    <row r="22" spans="1:20" ht="57.6" x14ac:dyDescent="0.3">
      <c r="A22" s="11">
        <f t="shared" si="0"/>
        <v>12</v>
      </c>
      <c r="B22" s="7">
        <v>44986</v>
      </c>
      <c r="C22" s="6" t="s">
        <v>27</v>
      </c>
      <c r="D22" s="14">
        <v>29541878</v>
      </c>
      <c r="E22" s="8" t="s">
        <v>17</v>
      </c>
      <c r="F22" s="8" t="s">
        <v>18</v>
      </c>
      <c r="G22" s="8">
        <v>3.71</v>
      </c>
      <c r="H22" s="8" t="s">
        <v>35</v>
      </c>
      <c r="I22" s="8"/>
      <c r="J22" s="8">
        <v>15</v>
      </c>
      <c r="K22" s="8" t="s">
        <v>37</v>
      </c>
      <c r="L22" s="8" t="s">
        <v>50</v>
      </c>
      <c r="M22" s="8" t="s">
        <v>40</v>
      </c>
      <c r="N22" s="8"/>
      <c r="O22" s="8" t="s">
        <v>40</v>
      </c>
      <c r="P22" s="28">
        <v>45762</v>
      </c>
      <c r="Q22" s="29" t="s">
        <v>60</v>
      </c>
      <c r="R22" s="20"/>
      <c r="S22" s="20"/>
      <c r="T22" s="30" t="s">
        <v>76</v>
      </c>
    </row>
    <row r="23" spans="1:20" ht="57.6" x14ac:dyDescent="0.3">
      <c r="A23" s="11">
        <f t="shared" si="0"/>
        <v>13</v>
      </c>
      <c r="B23" s="7">
        <v>44986</v>
      </c>
      <c r="C23" s="6" t="s">
        <v>28</v>
      </c>
      <c r="D23" s="14">
        <v>29726843</v>
      </c>
      <c r="E23" s="8" t="s">
        <v>17</v>
      </c>
      <c r="F23" s="8" t="s">
        <v>18</v>
      </c>
      <c r="G23" s="8">
        <v>3.75</v>
      </c>
      <c r="H23" s="8" t="s">
        <v>35</v>
      </c>
      <c r="I23" s="8"/>
      <c r="J23" s="8">
        <v>19.5</v>
      </c>
      <c r="K23" s="8" t="s">
        <v>37</v>
      </c>
      <c r="L23" s="8"/>
      <c r="M23" s="8" t="s">
        <v>40</v>
      </c>
      <c r="N23" s="8"/>
      <c r="O23" s="8" t="s">
        <v>40</v>
      </c>
      <c r="P23" s="28">
        <v>45418</v>
      </c>
      <c r="Q23" s="29" t="s">
        <v>58</v>
      </c>
      <c r="R23" s="20"/>
      <c r="S23" s="20"/>
      <c r="T23" s="30" t="s">
        <v>74</v>
      </c>
    </row>
    <row r="24" spans="1:20" x14ac:dyDescent="0.3">
      <c r="A24" s="11">
        <f t="shared" si="0"/>
        <v>14</v>
      </c>
      <c r="B24" s="7">
        <v>44986</v>
      </c>
      <c r="C24" s="6" t="s">
        <v>29</v>
      </c>
      <c r="D24" s="14">
        <v>29566205</v>
      </c>
      <c r="E24" s="8" t="s">
        <v>17</v>
      </c>
      <c r="F24" s="8" t="s">
        <v>18</v>
      </c>
      <c r="G24" s="8">
        <v>3.71</v>
      </c>
      <c r="H24" s="8" t="s">
        <v>35</v>
      </c>
      <c r="I24" s="8"/>
      <c r="J24" s="8">
        <v>20</v>
      </c>
      <c r="K24" s="8" t="s">
        <v>37</v>
      </c>
      <c r="L24" s="8"/>
      <c r="M24" s="8" t="s">
        <v>40</v>
      </c>
      <c r="N24" s="8"/>
      <c r="O24" s="8" t="s">
        <v>40</v>
      </c>
      <c r="P24" s="28">
        <v>45762</v>
      </c>
      <c r="Q24" s="29" t="s">
        <v>60</v>
      </c>
      <c r="R24" s="20"/>
      <c r="S24" s="20"/>
      <c r="T24" s="30" t="s">
        <v>75</v>
      </c>
    </row>
    <row r="25" spans="1:20" ht="28.8" x14ac:dyDescent="0.3">
      <c r="A25" s="11">
        <f t="shared" si="0"/>
        <v>15</v>
      </c>
      <c r="B25" s="7">
        <v>45017</v>
      </c>
      <c r="C25" s="6" t="s">
        <v>30</v>
      </c>
      <c r="D25" s="14">
        <v>42268192</v>
      </c>
      <c r="E25" s="8" t="s">
        <v>17</v>
      </c>
      <c r="F25" s="8" t="s">
        <v>18</v>
      </c>
      <c r="G25" s="8">
        <v>3.93</v>
      </c>
      <c r="H25" s="8" t="s">
        <v>35</v>
      </c>
      <c r="I25" s="8"/>
      <c r="J25" s="8">
        <v>21</v>
      </c>
      <c r="K25" s="8" t="s">
        <v>37</v>
      </c>
      <c r="L25" s="8" t="s">
        <v>42</v>
      </c>
      <c r="M25" s="8" t="s">
        <v>40</v>
      </c>
      <c r="N25" s="8"/>
      <c r="O25" s="8" t="s">
        <v>40</v>
      </c>
      <c r="P25" s="28">
        <v>45762</v>
      </c>
      <c r="Q25" s="29"/>
      <c r="R25" s="20"/>
      <c r="S25" s="20"/>
      <c r="T25" s="30" t="s">
        <v>78</v>
      </c>
    </row>
    <row r="26" spans="1:20" ht="57.6" x14ac:dyDescent="0.3">
      <c r="A26" s="24">
        <f t="shared" si="0"/>
        <v>16</v>
      </c>
      <c r="B26" s="15">
        <v>45019</v>
      </c>
      <c r="C26" s="14" t="s">
        <v>31</v>
      </c>
      <c r="D26" s="18">
        <v>40285552</v>
      </c>
      <c r="E26" s="19" t="s">
        <v>17</v>
      </c>
      <c r="F26" s="8" t="s">
        <v>33</v>
      </c>
      <c r="G26" s="8">
        <v>3.82</v>
      </c>
      <c r="H26" s="8" t="s">
        <v>35</v>
      </c>
      <c r="I26" s="8"/>
      <c r="J26" s="8">
        <v>17</v>
      </c>
      <c r="K26" s="8" t="s">
        <v>37</v>
      </c>
      <c r="L26" s="8" t="s">
        <v>50</v>
      </c>
      <c r="M26" s="8" t="s">
        <v>40</v>
      </c>
      <c r="N26" s="8"/>
      <c r="O26" s="8" t="s">
        <v>40</v>
      </c>
      <c r="P26" s="28">
        <v>45762</v>
      </c>
      <c r="Q26" s="29" t="s">
        <v>59</v>
      </c>
      <c r="R26" s="20"/>
      <c r="S26" s="20"/>
      <c r="T26" s="30" t="s">
        <v>77</v>
      </c>
    </row>
    <row r="27" spans="1:20" x14ac:dyDescent="0.3">
      <c r="A27" s="24">
        <v>17</v>
      </c>
      <c r="B27" s="21">
        <v>45047</v>
      </c>
      <c r="C27" s="22" t="s">
        <v>51</v>
      </c>
      <c r="D27" s="22">
        <v>70989579</v>
      </c>
      <c r="E27" s="8" t="s">
        <v>17</v>
      </c>
      <c r="F27" s="8" t="s">
        <v>18</v>
      </c>
      <c r="G27" s="8"/>
      <c r="H27" s="8" t="s">
        <v>35</v>
      </c>
      <c r="I27" s="8"/>
      <c r="J27" s="8">
        <v>22</v>
      </c>
      <c r="K27" s="8" t="s">
        <v>61</v>
      </c>
      <c r="L27" s="8"/>
      <c r="M27" s="8" t="s">
        <v>40</v>
      </c>
      <c r="N27" s="8"/>
      <c r="O27" s="8" t="s">
        <v>40</v>
      </c>
      <c r="P27" s="28">
        <v>45823</v>
      </c>
      <c r="Q27" s="29"/>
      <c r="R27" s="33">
        <v>45048</v>
      </c>
      <c r="S27" s="20"/>
      <c r="T27" s="30" t="s">
        <v>80</v>
      </c>
    </row>
    <row r="28" spans="1:20" ht="28.8" x14ac:dyDescent="0.3">
      <c r="A28" s="24">
        <v>18</v>
      </c>
      <c r="B28" s="21">
        <v>45078</v>
      </c>
      <c r="C28" s="22" t="s">
        <v>63</v>
      </c>
      <c r="D28" s="22">
        <v>74632299</v>
      </c>
      <c r="E28" s="8" t="s">
        <v>17</v>
      </c>
      <c r="F28" s="8" t="s">
        <v>18</v>
      </c>
      <c r="G28" s="8"/>
      <c r="H28" s="8" t="s">
        <v>35</v>
      </c>
      <c r="I28" s="8"/>
      <c r="J28" s="8"/>
      <c r="K28" s="8" t="s">
        <v>61</v>
      </c>
      <c r="L28" s="8"/>
      <c r="M28" s="8" t="s">
        <v>40</v>
      </c>
      <c r="N28" s="8"/>
      <c r="O28" s="8" t="s">
        <v>40</v>
      </c>
      <c r="P28" s="28">
        <v>45823</v>
      </c>
      <c r="Q28" s="29"/>
      <c r="R28" s="33">
        <v>45078</v>
      </c>
      <c r="S28" s="20"/>
      <c r="T28" s="30" t="s">
        <v>79</v>
      </c>
    </row>
    <row r="29" spans="1:20" s="40" customFormat="1" x14ac:dyDescent="0.3">
      <c r="A29" s="24"/>
      <c r="B29" s="21"/>
      <c r="C29" s="22"/>
      <c r="D29" s="22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28"/>
      <c r="Q29" s="29"/>
      <c r="R29" s="33"/>
      <c r="S29" s="20"/>
      <c r="T29" s="30"/>
    </row>
    <row r="30" spans="1:20" ht="72" x14ac:dyDescent="0.3">
      <c r="A30" s="70" t="s">
        <v>87</v>
      </c>
      <c r="B30" s="21">
        <v>45133</v>
      </c>
      <c r="C30" s="22" t="s">
        <v>85</v>
      </c>
      <c r="D30" s="22">
        <v>70174485</v>
      </c>
      <c r="E30" s="8" t="s">
        <v>17</v>
      </c>
      <c r="F30" s="8" t="s">
        <v>18</v>
      </c>
      <c r="G30" s="8"/>
      <c r="H30" s="8" t="s">
        <v>35</v>
      </c>
      <c r="I30" s="8"/>
      <c r="J30" s="8"/>
      <c r="K30" s="8" t="s">
        <v>61</v>
      </c>
      <c r="L30" s="8"/>
      <c r="M30" s="8" t="s">
        <v>40</v>
      </c>
      <c r="N30" s="8"/>
      <c r="O30" s="8" t="s">
        <v>40</v>
      </c>
      <c r="P30" s="28">
        <v>45823</v>
      </c>
      <c r="Q30" s="29" t="s">
        <v>52</v>
      </c>
      <c r="R30" s="33"/>
      <c r="S30" s="20"/>
      <c r="T30" s="30" t="s">
        <v>86</v>
      </c>
    </row>
    <row r="31" spans="1:20" x14ac:dyDescent="0.3">
      <c r="A31" s="24"/>
    </row>
    <row r="32" spans="1:20" x14ac:dyDescent="0.3">
      <c r="A32" s="24"/>
    </row>
    <row r="33" spans="1:1" x14ac:dyDescent="0.3">
      <c r="A33" s="24"/>
    </row>
  </sheetData>
  <mergeCells count="17">
    <mergeCell ref="T18:T19"/>
    <mergeCell ref="A18:A19"/>
    <mergeCell ref="C18:C19"/>
    <mergeCell ref="B18:B19"/>
    <mergeCell ref="O8:Q8"/>
    <mergeCell ref="O18:O19"/>
    <mergeCell ref="P18:P19"/>
    <mergeCell ref="Q18:Q19"/>
    <mergeCell ref="D18:D19"/>
    <mergeCell ref="B1:H5"/>
    <mergeCell ref="I1:M5"/>
    <mergeCell ref="B7:C7"/>
    <mergeCell ref="E7:F7"/>
    <mergeCell ref="C8:F8"/>
    <mergeCell ref="G8:I8"/>
    <mergeCell ref="J8:L8"/>
    <mergeCell ref="M8:N8"/>
  </mergeCells>
  <phoneticPr fontId="8" type="noConversion"/>
  <conditionalFormatting sqref="G10:G26">
    <cfRule type="colorScale" priority="20">
      <colorScale>
        <cfvo type="num" val="0"/>
        <cfvo type="num" val="1.6"/>
        <cfvo type="num" val="4"/>
        <color rgb="FFF8696B"/>
        <color rgb="FFFFEB84"/>
        <color rgb="FF63BE7B"/>
      </colorScale>
    </cfRule>
    <cfRule type="iconSet" priority="32">
      <iconSet iconSet="3Symbols2">
        <cfvo type="percent" val="0"/>
        <cfvo type="num" val="&quot;2.6&quot;"/>
        <cfvo type="num" val="&quot;3.5&quot;" gte="0"/>
      </iconSet>
    </cfRule>
  </conditionalFormatting>
  <conditionalFormatting sqref="G10:G26">
    <cfRule type="iconSet" priority="30">
      <iconSet iconSet="3Symbols">
        <cfvo type="percent" val="0"/>
        <cfvo type="num" val="1.5" gte="0"/>
        <cfvo type="num" val="2.6"/>
      </iconSet>
    </cfRule>
  </conditionalFormatting>
  <conditionalFormatting sqref="J10:J26">
    <cfRule type="colorScale" priority="19">
      <colorScale>
        <cfvo type="num" val="0"/>
        <cfvo type="num" val="13"/>
        <cfvo type="num" val="22"/>
        <color rgb="FFF8696B"/>
        <color rgb="FFFFEB84"/>
        <color rgb="FF63BE7B"/>
      </colorScale>
    </cfRule>
    <cfRule type="iconSet" priority="29">
      <iconSet iconSet="3Symbols2">
        <cfvo type="percent" val="0"/>
        <cfvo type="num" val="&quot;2.6&quot;"/>
        <cfvo type="num" val="&quot;3.5&quot;" gte="0"/>
      </iconSet>
    </cfRule>
  </conditionalFormatting>
  <conditionalFormatting sqref="J10:J26">
    <cfRule type="iconSet" priority="27">
      <iconSet iconSet="3Symbols2">
        <cfvo type="percent" val="0"/>
        <cfvo type="num" val="9"/>
        <cfvo type="num" val="13"/>
      </iconSet>
    </cfRule>
  </conditionalFormatting>
  <conditionalFormatting sqref="M10:M26">
    <cfRule type="containsText" dxfId="11" priority="21" operator="containsText" text="NO">
      <formula>NOT(ISERROR(SEARCH("NO",M10)))</formula>
    </cfRule>
    <cfRule type="containsText" dxfId="10" priority="22" operator="containsText" text="AUN">
      <formula>NOT(ISERROR(SEARCH("AUN",M10)))</formula>
    </cfRule>
    <cfRule type="containsText" dxfId="9" priority="23" operator="containsText" text="SI">
      <formula>NOT(ISERROR(SEARCH("SI",M10)))</formula>
    </cfRule>
  </conditionalFormatting>
  <conditionalFormatting sqref="O10:O18 O20:O26">
    <cfRule type="containsText" dxfId="8" priority="13" operator="containsText" text="NO">
      <formula>NOT(ISERROR(SEARCH("NO",O10)))</formula>
    </cfRule>
    <cfRule type="containsText" dxfId="7" priority="14" operator="containsText" text="AUN">
      <formula>NOT(ISERROR(SEARCH("AUN",O10)))</formula>
    </cfRule>
    <cfRule type="containsText" dxfId="6" priority="15" operator="containsText" text="SI">
      <formula>NOT(ISERROR(SEARCH("SI",O10)))</formula>
    </cfRule>
  </conditionalFormatting>
  <conditionalFormatting sqref="G27:G30">
    <cfRule type="colorScale" priority="5">
      <colorScale>
        <cfvo type="num" val="0"/>
        <cfvo type="num" val="1.6"/>
        <cfvo type="num" val="4"/>
        <color rgb="FFF8696B"/>
        <color rgb="FFFFEB84"/>
        <color rgb="FF63BE7B"/>
      </colorScale>
    </cfRule>
    <cfRule type="iconSet" priority="12">
      <iconSet iconSet="3Symbols2">
        <cfvo type="percent" val="0"/>
        <cfvo type="num" val="&quot;2.6&quot;"/>
        <cfvo type="num" val="&quot;3.5&quot;" gte="0"/>
      </iconSet>
    </cfRule>
  </conditionalFormatting>
  <conditionalFormatting sqref="G27:G30">
    <cfRule type="iconSet" priority="11">
      <iconSet iconSet="3Symbols">
        <cfvo type="percent" val="0"/>
        <cfvo type="num" val="1.5" gte="0"/>
        <cfvo type="num" val="2.6"/>
      </iconSet>
    </cfRule>
  </conditionalFormatting>
  <conditionalFormatting sqref="J27:J30">
    <cfRule type="colorScale" priority="4">
      <colorScale>
        <cfvo type="num" val="0"/>
        <cfvo type="num" val="13"/>
        <cfvo type="num" val="22"/>
        <color rgb="FFF8696B"/>
        <color rgb="FFFFEB84"/>
        <color rgb="FF63BE7B"/>
      </colorScale>
    </cfRule>
    <cfRule type="iconSet" priority="10">
      <iconSet iconSet="3Symbols2">
        <cfvo type="percent" val="0"/>
        <cfvo type="num" val="&quot;2.6&quot;"/>
        <cfvo type="num" val="&quot;3.5&quot;" gte="0"/>
      </iconSet>
    </cfRule>
  </conditionalFormatting>
  <conditionalFormatting sqref="J27:J30">
    <cfRule type="iconSet" priority="9">
      <iconSet iconSet="3Symbols2">
        <cfvo type="percent" val="0"/>
        <cfvo type="num" val="9"/>
        <cfvo type="num" val="13"/>
      </iconSet>
    </cfRule>
  </conditionalFormatting>
  <conditionalFormatting sqref="M27:M30">
    <cfRule type="containsText" dxfId="5" priority="6" operator="containsText" text="NO">
      <formula>NOT(ISERROR(SEARCH("NO",M27)))</formula>
    </cfRule>
    <cfRule type="containsText" dxfId="4" priority="7" operator="containsText" text="AUN">
      <formula>NOT(ISERROR(SEARCH("AUN",M27)))</formula>
    </cfRule>
    <cfRule type="containsText" dxfId="3" priority="8" operator="containsText" text="SI">
      <formula>NOT(ISERROR(SEARCH("SI",M27)))</formula>
    </cfRule>
  </conditionalFormatting>
  <conditionalFormatting sqref="O27:O30">
    <cfRule type="containsText" dxfId="2" priority="1" operator="containsText" text="NO">
      <formula>NOT(ISERROR(SEARCH("NO",O27)))</formula>
    </cfRule>
    <cfRule type="containsText" dxfId="1" priority="2" operator="containsText" text="AUN">
      <formula>NOT(ISERROR(SEARCH("AUN",O27)))</formula>
    </cfRule>
    <cfRule type="containsText" dxfId="0" priority="3" operator="containsText" text="SI">
      <formula>NOT(ISERROR(SEARCH("SI",O27)))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1517-F522-48A4-A3BB-58EC6021FE2E}">
  <sheetPr codeName="Hoja2"/>
  <dimension ref="C4:M10"/>
  <sheetViews>
    <sheetView topLeftCell="D1" zoomScale="70" zoomScaleNormal="70" workbookViewId="0">
      <selection activeCell="G20" sqref="G20"/>
    </sheetView>
  </sheetViews>
  <sheetFormatPr baseColWidth="10" defaultRowHeight="14.4" x14ac:dyDescent="0.3"/>
  <cols>
    <col min="9" max="9" width="17.88671875" customWidth="1"/>
    <col min="10" max="10" width="23.88671875" customWidth="1"/>
  </cols>
  <sheetData>
    <row r="4" spans="3:13" ht="15" thickBot="1" x14ac:dyDescent="0.35"/>
    <row r="5" spans="3:13" ht="17.399999999999999" x14ac:dyDescent="0.35">
      <c r="C5" s="55" t="s">
        <v>20</v>
      </c>
      <c r="D5" s="55"/>
      <c r="E5" s="55"/>
      <c r="F5" s="55" t="s">
        <v>24</v>
      </c>
      <c r="G5" s="55"/>
      <c r="H5" s="55"/>
      <c r="I5" s="55" t="s">
        <v>39</v>
      </c>
      <c r="J5" s="55"/>
      <c r="K5" s="51" t="s">
        <v>47</v>
      </c>
      <c r="L5" s="52"/>
      <c r="M5" s="53"/>
    </row>
    <row r="6" spans="3:13" x14ac:dyDescent="0.3">
      <c r="C6" s="54" t="s">
        <v>45</v>
      </c>
      <c r="D6" s="54"/>
      <c r="E6" s="54"/>
      <c r="F6" s="54" t="s">
        <v>44</v>
      </c>
      <c r="G6" s="54"/>
      <c r="H6" s="54"/>
      <c r="I6" s="54" t="s">
        <v>43</v>
      </c>
      <c r="J6" s="54"/>
      <c r="K6" s="54" t="s">
        <v>53</v>
      </c>
      <c r="L6" s="54"/>
      <c r="M6" s="54"/>
    </row>
    <row r="7" spans="3:13" x14ac:dyDescent="0.3"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</row>
    <row r="8" spans="3:13" x14ac:dyDescent="0.3"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</row>
    <row r="9" spans="3:13" x14ac:dyDescent="0.3"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</row>
    <row r="10" spans="3:13" x14ac:dyDescent="0.3"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</sheetData>
  <mergeCells count="8">
    <mergeCell ref="K5:M5"/>
    <mergeCell ref="K6:M10"/>
    <mergeCell ref="C5:E5"/>
    <mergeCell ref="F5:H5"/>
    <mergeCell ref="I5:J5"/>
    <mergeCell ref="C6:E10"/>
    <mergeCell ref="F6:H10"/>
    <mergeCell ref="I6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Personal</vt:lpstr>
      <vt:lpstr>Item evaluatorio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Sosa Lopez</dc:creator>
  <cp:lastModifiedBy>Ruth Sosa Lopez</cp:lastModifiedBy>
  <dcterms:created xsi:type="dcterms:W3CDTF">2023-06-12T12:55:45Z</dcterms:created>
  <dcterms:modified xsi:type="dcterms:W3CDTF">2023-12-15T18:17:29Z</dcterms:modified>
</cp:coreProperties>
</file>