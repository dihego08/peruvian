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82A8931-9F4C-457E-9EF4-1AC93992A00E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Lista de Indicadores" sheetId="1" r:id="rId1"/>
    <sheet name="IND1" sheetId="2" r:id="rId2"/>
    <sheet name="IND2" sheetId="3" r:id="rId3"/>
    <sheet name="IND3" sheetId="4" r:id="rId4"/>
    <sheet name="IND4" sheetId="5" r:id="rId5"/>
    <sheet name="IND5" sheetId="6" r:id="rId6"/>
    <sheet name="IND6" sheetId="7" r:id="rId7"/>
    <sheet name="IND7" sheetId="8" r:id="rId8"/>
    <sheet name="IND8" sheetId="9" r:id="rId9"/>
    <sheet name="IND9" sheetId="10" r:id="rId10"/>
    <sheet name="IND10" sheetId="12" r:id="rId11"/>
  </sheets>
  <definedNames>
    <definedName name="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ocr4NVNOaFardhx2bCFclzn4FAn8T0kXaoQzxbQ9Ns="/>
    </ext>
  </extLst>
</workbook>
</file>

<file path=xl/calcChain.xml><?xml version="1.0" encoding="utf-8"?>
<calcChain xmlns="http://schemas.openxmlformats.org/spreadsheetml/2006/main">
  <c r="F10" i="8" l="1"/>
  <c r="G10" i="8"/>
  <c r="H10" i="8"/>
  <c r="I10" i="8"/>
  <c r="J10" i="8"/>
  <c r="K10" i="8"/>
  <c r="L10" i="8"/>
  <c r="L12" i="8" s="1"/>
  <c r="M10" i="8"/>
  <c r="M12" i="8" s="1"/>
  <c r="N10" i="8"/>
  <c r="C10" i="8"/>
  <c r="D10" i="8"/>
  <c r="D12" i="8" s="1"/>
  <c r="E8" i="8"/>
  <c r="E7" i="8"/>
  <c r="E9" i="8" s="1"/>
  <c r="D11" i="8"/>
  <c r="F11" i="8"/>
  <c r="G11" i="8"/>
  <c r="H11" i="8"/>
  <c r="I11" i="8"/>
  <c r="J11" i="8"/>
  <c r="K11" i="8"/>
  <c r="L11" i="8"/>
  <c r="M11" i="8"/>
  <c r="N11" i="8"/>
  <c r="N12" i="8" s="1"/>
  <c r="C11" i="8"/>
  <c r="I12" i="8"/>
  <c r="K12" i="8"/>
  <c r="B11" i="8"/>
  <c r="B10" i="8"/>
  <c r="B9" i="8"/>
  <c r="B8" i="8"/>
  <c r="B7" i="8"/>
  <c r="B6" i="8"/>
  <c r="C2" i="8"/>
  <c r="F3" i="12"/>
  <c r="C2" i="12"/>
  <c r="B7" i="12"/>
  <c r="B6" i="12"/>
  <c r="N3" i="12"/>
  <c r="J3" i="12"/>
  <c r="N8" i="12"/>
  <c r="M8" i="12"/>
  <c r="L8" i="12"/>
  <c r="K8" i="12"/>
  <c r="J8" i="12"/>
  <c r="I8" i="12"/>
  <c r="H8" i="12"/>
  <c r="G8" i="12"/>
  <c r="F8" i="12"/>
  <c r="E8" i="12"/>
  <c r="D8" i="12"/>
  <c r="C8" i="12"/>
  <c r="N8" i="3"/>
  <c r="M8" i="3"/>
  <c r="L8" i="3"/>
  <c r="K8" i="3"/>
  <c r="J8" i="3"/>
  <c r="I8" i="3"/>
  <c r="H8" i="3"/>
  <c r="G8" i="3"/>
  <c r="F8" i="3"/>
  <c r="E8" i="3"/>
  <c r="D8" i="3"/>
  <c r="C8" i="3"/>
  <c r="N8" i="10"/>
  <c r="M8" i="10"/>
  <c r="L8" i="10"/>
  <c r="K8" i="10"/>
  <c r="J8" i="10"/>
  <c r="I8" i="10"/>
  <c r="H8" i="10"/>
  <c r="G8" i="10"/>
  <c r="I3" i="10" s="1"/>
  <c r="F8" i="10"/>
  <c r="E8" i="10"/>
  <c r="D8" i="10"/>
  <c r="C8" i="10"/>
  <c r="B7" i="10"/>
  <c r="B6" i="10"/>
  <c r="N3" i="10"/>
  <c r="J3" i="10"/>
  <c r="F3" i="10"/>
  <c r="C2" i="10"/>
  <c r="N8" i="9"/>
  <c r="M8" i="9"/>
  <c r="L8" i="9"/>
  <c r="K8" i="9"/>
  <c r="J8" i="9"/>
  <c r="I8" i="9"/>
  <c r="H8" i="9"/>
  <c r="G8" i="9"/>
  <c r="F8" i="9"/>
  <c r="E8" i="9"/>
  <c r="D8" i="9"/>
  <c r="C8" i="9"/>
  <c r="B7" i="9"/>
  <c r="B6" i="9"/>
  <c r="N3" i="9"/>
  <c r="J3" i="9"/>
  <c r="F3" i="9"/>
  <c r="C2" i="9"/>
  <c r="N3" i="8"/>
  <c r="J3" i="8"/>
  <c r="F3" i="8"/>
  <c r="N8" i="7"/>
  <c r="M8" i="7"/>
  <c r="L8" i="7"/>
  <c r="K8" i="7"/>
  <c r="J8" i="7"/>
  <c r="I8" i="7"/>
  <c r="H8" i="7"/>
  <c r="G8" i="7"/>
  <c r="F8" i="7"/>
  <c r="E8" i="7"/>
  <c r="D8" i="7"/>
  <c r="C8" i="7"/>
  <c r="B7" i="7"/>
  <c r="B6" i="7"/>
  <c r="N3" i="7"/>
  <c r="J3" i="7"/>
  <c r="F3" i="7"/>
  <c r="C2" i="7"/>
  <c r="N8" i="6"/>
  <c r="M8" i="6"/>
  <c r="L8" i="6"/>
  <c r="K8" i="6"/>
  <c r="J8" i="6"/>
  <c r="I8" i="6"/>
  <c r="H8" i="6"/>
  <c r="G8" i="6"/>
  <c r="F8" i="6"/>
  <c r="E8" i="6"/>
  <c r="D8" i="6"/>
  <c r="C8" i="6"/>
  <c r="B7" i="6"/>
  <c r="B6" i="6"/>
  <c r="N3" i="6"/>
  <c r="J3" i="6"/>
  <c r="F3" i="6"/>
  <c r="C2" i="6"/>
  <c r="N8" i="5"/>
  <c r="M8" i="5"/>
  <c r="L8" i="5"/>
  <c r="K8" i="5"/>
  <c r="J8" i="5"/>
  <c r="I8" i="5"/>
  <c r="H8" i="5"/>
  <c r="G8" i="5"/>
  <c r="F8" i="5"/>
  <c r="E8" i="5"/>
  <c r="D8" i="5"/>
  <c r="C8" i="5"/>
  <c r="I3" i="5" s="1"/>
  <c r="I12" i="1" s="1"/>
  <c r="B7" i="5"/>
  <c r="B6" i="5"/>
  <c r="N3" i="5"/>
  <c r="J3" i="5"/>
  <c r="F3" i="5"/>
  <c r="C2" i="5"/>
  <c r="N8" i="4"/>
  <c r="M8" i="4"/>
  <c r="L8" i="4"/>
  <c r="K8" i="4"/>
  <c r="J8" i="4"/>
  <c r="I8" i="4"/>
  <c r="H8" i="4"/>
  <c r="G8" i="4"/>
  <c r="F8" i="4"/>
  <c r="E8" i="4"/>
  <c r="D8" i="4"/>
  <c r="C8" i="4"/>
  <c r="B7" i="4"/>
  <c r="B6" i="4"/>
  <c r="N3" i="4"/>
  <c r="J3" i="4"/>
  <c r="F3" i="4"/>
  <c r="C2" i="4"/>
  <c r="B7" i="3"/>
  <c r="B6" i="3"/>
  <c r="J3" i="3"/>
  <c r="F3" i="3"/>
  <c r="C2" i="3"/>
  <c r="N8" i="2"/>
  <c r="M8" i="2"/>
  <c r="L8" i="2"/>
  <c r="K8" i="2"/>
  <c r="J8" i="2"/>
  <c r="I8" i="2"/>
  <c r="H8" i="2"/>
  <c r="G8" i="2"/>
  <c r="F8" i="2"/>
  <c r="E8" i="2"/>
  <c r="D8" i="2"/>
  <c r="I3" i="2" s="1"/>
  <c r="I9" i="1" s="1"/>
  <c r="C8" i="2"/>
  <c r="B7" i="2"/>
  <c r="B6" i="2"/>
  <c r="N3" i="2"/>
  <c r="J3" i="2"/>
  <c r="F3" i="2"/>
  <c r="C2" i="2"/>
  <c r="I3" i="6" l="1"/>
  <c r="I13" i="1" s="1"/>
  <c r="F12" i="8"/>
  <c r="E10" i="8"/>
  <c r="G12" i="8"/>
  <c r="I3" i="9"/>
  <c r="I18" i="1" s="1"/>
  <c r="E11" i="8"/>
  <c r="J12" i="8"/>
  <c r="H12" i="8"/>
  <c r="I3" i="7"/>
  <c r="I14" i="1" s="1"/>
  <c r="E12" i="8"/>
  <c r="C12" i="8"/>
  <c r="I3" i="4"/>
  <c r="I11" i="1" s="1"/>
  <c r="I3" i="12"/>
  <c r="I20" i="1" s="1"/>
  <c r="I3" i="3"/>
  <c r="I10" i="1" s="1"/>
  <c r="I3" i="8" l="1"/>
  <c r="I15" i="1" s="1"/>
</calcChain>
</file>

<file path=xl/sharedStrings.xml><?xml version="1.0" encoding="utf-8"?>
<sst xmlns="http://schemas.openxmlformats.org/spreadsheetml/2006/main" count="518" uniqueCount="101">
  <si>
    <t>@</t>
  </si>
  <si>
    <t>Nro</t>
  </si>
  <si>
    <t>Proceso</t>
  </si>
  <si>
    <t>Sistema de Gestión</t>
  </si>
  <si>
    <t>Nombre</t>
  </si>
  <si>
    <t>Indicador</t>
  </si>
  <si>
    <t>Variables 1</t>
  </si>
  <si>
    <t>Variable 2</t>
  </si>
  <si>
    <t>Meta</t>
  </si>
  <si>
    <t>Resultado Alcanzado</t>
  </si>
  <si>
    <t>Seguimiento</t>
  </si>
  <si>
    <t>Gestión Comercial</t>
  </si>
  <si>
    <t>SGC</t>
  </si>
  <si>
    <t>Indice de quejas</t>
  </si>
  <si>
    <t>(Nro. quejas atendidas a tiempo/Nro. total de quejas reportadas)*100</t>
  </si>
  <si>
    <t>Nro. quejas atendidas a tiempo</t>
  </si>
  <si>
    <t>Nro. total de quejas reportadas</t>
  </si>
  <si>
    <t>Mensual</t>
  </si>
  <si>
    <t>índice de satisfacción del cliente</t>
  </si>
  <si>
    <t>(Nro. clientes satisfechos /Nro.  total de clientes encuestados )*100</t>
  </si>
  <si>
    <t xml:space="preserve">Nro. clientes satisfechos </t>
  </si>
  <si>
    <t>Nro.  total de clientes encuestados</t>
  </si>
  <si>
    <t>Anual</t>
  </si>
  <si>
    <t>Confección</t>
  </si>
  <si>
    <t>Cumplimiento de pedidos</t>
  </si>
  <si>
    <t>(Nro. pedidos atendidos dentro de plazo de atención/Nro. total de pedidos recepcionados por el cliente)*100</t>
  </si>
  <si>
    <t>Nro. pedidos atendidos dentro de plazo de atención</t>
  </si>
  <si>
    <t>Nro. total de pedidos recepcionados por el cliente</t>
  </si>
  <si>
    <t>Mantenimiento y Control de Equipo</t>
  </si>
  <si>
    <t>Cumplimiento de mantenimientos programados</t>
  </si>
  <si>
    <t>(Nro. mantenimientos ejecutadas dentro del plazo/Nro. total de mantenimientos programados)*100</t>
  </si>
  <si>
    <t>Nro. mantenimientos ejecutadas dentro del plazo</t>
  </si>
  <si>
    <t>Nro. total de mantenimientos programados</t>
  </si>
  <si>
    <t>Recursos Humanos</t>
  </si>
  <si>
    <t>SGC / SGSST</t>
  </si>
  <si>
    <t>Cumplimiento del programa de capacitación</t>
  </si>
  <si>
    <t>(Nro. capacitaciones ejecutadas dentro del plazo/Nro. total de capacitaciones programadas)*100</t>
  </si>
  <si>
    <t>Nro. capacitaciones ejecutadas dentro del plazo</t>
  </si>
  <si>
    <t>Nro. total de capacitaciones programadas</t>
  </si>
  <si>
    <t>Gestión SIG</t>
  </si>
  <si>
    <t>SGSST</t>
  </si>
  <si>
    <t>Reducción de incidentes</t>
  </si>
  <si>
    <t>(Nro. De correcciones inmediatas/Nro. de incidentes  )*100</t>
  </si>
  <si>
    <t>Nro. de incidentes ocurridos</t>
  </si>
  <si>
    <t>Nro. de correciones inmediatas</t>
  </si>
  <si>
    <t>-</t>
  </si>
  <si>
    <t>Cumplimiento del programa auditorias internas</t>
  </si>
  <si>
    <t>(Nro. de auditorias ejecutadas/Nro. total de auditorias programadas)*100</t>
  </si>
  <si>
    <t>Nro. de auditorias ejecutadas</t>
  </si>
  <si>
    <t>Nro. total de auditorias programada</t>
  </si>
  <si>
    <t>Planeamiento Estrategico</t>
  </si>
  <si>
    <t>Indice de mejoras</t>
  </si>
  <si>
    <t>(Nro. de acciones de mejora detectada como resultado de la revisión por la dirección/Nro. total de revisiones por la dirección ejecutadas)*100</t>
  </si>
  <si>
    <t>Nro. de acciones de mejora detectada como resultado de la revisión por la dirección</t>
  </si>
  <si>
    <t>Nro. total de revisiones por la dirección ejecutadas</t>
  </si>
  <si>
    <t>No aplica</t>
  </si>
  <si>
    <t>Nombre del Indicador</t>
  </si>
  <si>
    <t>FORMULA</t>
  </si>
  <si>
    <t>RESULTADO</t>
  </si>
  <si>
    <t>META</t>
  </si>
  <si>
    <t>BUENO</t>
  </si>
  <si>
    <t>REGULAR</t>
  </si>
  <si>
    <t>MALO</t>
  </si>
  <si>
    <t>FRECUENCIA DE SEGUIMIENTO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</si>
  <si>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</si>
  <si>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</si>
  <si>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</si>
  <si>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</si>
  <si>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</si>
  <si>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</si>
  <si>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</si>
  <si>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</si>
  <si>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</si>
  <si>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</si>
  <si>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</si>
  <si>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</si>
  <si>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ACCIONES A TOMAR</t>
  </si>
  <si>
    <t>Mes</t>
  </si>
  <si>
    <t>Acciones a desarrollar</t>
  </si>
  <si>
    <t>Responsable</t>
  </si>
  <si>
    <t>Fecha a ejecutar</t>
  </si>
  <si>
    <t>Setiembre</t>
  </si>
  <si>
    <t>Diseño</t>
  </si>
  <si>
    <t>Nro. Diseños aprobados</t>
  </si>
  <si>
    <t>MENSUAL</t>
  </si>
  <si>
    <t>Nro.  total de diseños elaborados</t>
  </si>
  <si>
    <t>índice de aprobación de Diseños</t>
  </si>
  <si>
    <t>(Nro. Diseños aprobados /Nro.  total de diseños elaborados )*100</t>
  </si>
  <si>
    <t>[90%-100%]</t>
  </si>
  <si>
    <t>(IF*IS)/1000</t>
  </si>
  <si>
    <t>Indicador de frecuencia (IF)</t>
  </si>
  <si>
    <t>Indicador de severidad (IS)</t>
  </si>
  <si>
    <t>Indicador de frecuencia (IF)= (Nro. De accidentes de trabajo/Horas-Hombre trabajadas)x10^6</t>
  </si>
  <si>
    <t>Indicador de severidad (IS)= Nro de días perdidos / (Horas-hombre trabajadas)x 10^6</t>
  </si>
  <si>
    <t>IF</t>
  </si>
  <si>
    <r>
      <rPr>
        <b/>
        <sz val="11"/>
        <color theme="1"/>
        <rFont val="Calibri"/>
        <family val="2"/>
      </rPr>
      <t>Indicador de accidentes</t>
    </r>
    <r>
      <rPr>
        <sz val="11"/>
        <color theme="1"/>
        <rFont val="Calibri"/>
        <family val="2"/>
      </rPr>
      <t xml:space="preserve">
</t>
    </r>
  </si>
  <si>
    <t>Nro. De accidentes de trabajo</t>
  </si>
  <si>
    <t>Horas-Hombre trabajadas</t>
  </si>
  <si>
    <t xml:space="preserve"> Nro de días perdidos</t>
  </si>
  <si>
    <t>Horas-hombre trabajadas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</si>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</sst>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/m/yyyy"/>
    <numFmt numFmtId="166" formatCode="m\-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6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6"/>
      <color theme="0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rgb="FFD9E2F3"/>
      <name val="Calibri"/>
      <family val="2"/>
    </font>
    <font>
      <b/>
      <sz val="9"/>
      <color theme="0"/>
      <name val="Calibri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9" fontId="1" fillId="2" borderId="2" xfId="0" applyNumberFormat="1" applyFont="1" applyFill="1" applyBorder="1" applyAlignment="1">
      <alignment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/>
    <xf numFmtId="0" fontId="6" fillId="2" borderId="1" xfId="0" applyFont="1" applyFill="1" applyBorder="1"/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9" fontId="10" fillId="3" borderId="12" xfId="0" applyNumberFormat="1" applyFont="1" applyFill="1" applyBorder="1" applyAlignment="1">
      <alignment horizontal="center" vertical="center" wrapText="1"/>
    </xf>
    <xf numFmtId="9" fontId="10" fillId="3" borderId="13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/>
    </xf>
    <xf numFmtId="0" fontId="5" fillId="3" borderId="13" xfId="0" applyFont="1" applyFill="1" applyBorder="1" applyAlignment="1">
      <alignment vertical="center" wrapText="1"/>
    </xf>
    <xf numFmtId="0" fontId="12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/>
    <xf numFmtId="0" fontId="1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14" fillId="7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17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/>
    <xf numFmtId="9" fontId="16" fillId="3" borderId="13" xfId="0" applyNumberFormat="1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9" fontId="20" fillId="2" borderId="2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9" fontId="5" fillId="3" borderId="13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9" fontId="1" fillId="2" borderId="3" xfId="0" applyNumberFormat="1" applyFont="1" applyFill="1" applyBorder="1" applyAlignment="1">
      <alignment horizontal="center" vertical="center" wrapText="1"/>
    </xf>
    <xf numFmtId="9" fontId="1" fillId="2" borderId="22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9" fontId="1" fillId="2" borderId="24" xfId="0" applyNumberFormat="1" applyFont="1" applyFill="1" applyBorder="1" applyAlignment="1">
      <alignment horizontal="center" vertical="center" wrapText="1"/>
    </xf>
    <xf numFmtId="9" fontId="1" fillId="2" borderId="25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4" fillId="0" borderId="4" xfId="0" applyFont="1" applyBorder="1"/>
    <xf numFmtId="0" fontId="1" fillId="2" borderId="3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0" fontId="4" fillId="0" borderId="14" xfId="0" applyFont="1" applyBorder="1"/>
    <xf numFmtId="0" fontId="7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7" fillId="3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7" fillId="3" borderId="9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14" fillId="7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15" fillId="7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C-406D-9A16-82020E25D819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C-406D-9A16-82020E25D819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C-406D-9A16-82020E2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487813"/>
        <c:axId val="431941716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CC-406D-9A16-82020E25D819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CC-406D-9A16-82020E25D819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CC-406D-9A16-82020E25D819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CC-406D-9A16-82020E25D819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CC-406D-9A16-82020E25D819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CC-406D-9A16-82020E25D819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CC-406D-9A16-82020E25D819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CC-406D-9A16-82020E25D819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CC-406D-9A16-82020E25D819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CC-406D-9A16-82020E25D819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CC-406D-9A16-82020E25D819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CC-406D-9A16-82020E25D819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CC-406D-9A16-82020E25D819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CC-406D-9A16-82020E25D819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CC-406D-9A16-82020E25D819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CC-406D-9A16-82020E25D819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CC-406D-9A16-82020E25D819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CC-406D-9A16-82020E25D819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CC-406D-9A16-82020E25D819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CC-406D-9A16-82020E25D819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CC-406D-9A16-82020E25D819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CC-406D-9A16-82020E25D819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CC-406D-9A16-82020E25D819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CC-406D-9A16-82020E25D819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CC-406D-9A16-82020E25D819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CC-406D-9A16-82020E25D819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CC-406D-9A16-82020E25D819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CC-406D-9A16-82020E25D819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5CC-406D-9A16-82020E25D819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5CC-406D-9A16-82020E25D819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5CC-406D-9A16-82020E25D819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5CC-406D-9A16-82020E25D819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5CC-406D-9A16-82020E2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487813"/>
        <c:axId val="431941716"/>
      </c:lineChart>
      <c:catAx>
        <c:axId val="1631487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431941716"/>
        <c:crosses val="autoZero"/>
        <c:auto val="1"/>
        <c:lblAlgn val="ctr"/>
        <c:lblOffset val="100"/>
        <c:noMultiLvlLbl val="1"/>
      </c:catAx>
      <c:valAx>
        <c:axId val="4319417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63148781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4B-4704-AE45-25607703591B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4B-4704-AE45-25607703591B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24B-4704-AE45-25607703591B}"/>
            </c:ext>
          </c:extLst>
        </c:ser>
        <c:ser>
          <c:idx val="3"/>
          <c:order val="3"/>
          <c:invertIfNegative val="1"/>
          <c:val>
            <c:numRef>
              <c:f>'IND1'!$I$3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4B-4704-AE45-25607703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5294183"/>
        <c:axId val="398117895"/>
      </c:barChart>
      <c:catAx>
        <c:axId val="355294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98117895"/>
        <c:crosses val="autoZero"/>
        <c:auto val="1"/>
        <c:lblAlgn val="ctr"/>
        <c:lblOffset val="100"/>
        <c:noMultiLvlLbl val="1"/>
      </c:catAx>
      <c:valAx>
        <c:axId val="39811789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5529418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7977405866091836E-2"/>
          <c:y val="7.4653235913078431E-2"/>
          <c:w val="0.94071874095585961"/>
          <c:h val="0.64308308308308304"/>
        </c:manualLayout>
      </c:layout>
      <c:barChart>
        <c:barDir val="col"/>
        <c:grouping val="clustered"/>
        <c:varyColors val="1"/>
        <c:ser>
          <c:idx val="2"/>
          <c:order val="2"/>
          <c:invertIfNegative val="1"/>
          <c:cat>
            <c:strRef>
              <c:f>'IND2'!$C$5:$N$5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'IND2'!$C$8:$N$8</c:f>
              <c:numCache>
                <c:formatCode>0.0%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1-4955-8A70-ED9AFC12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2272085"/>
        <c:axId val="205170606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'IND2'!$C$5:$N$5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'IND2'!$C$6:$N$6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5F1-4955-8A70-ED9AFC12324F}"/>
                  </c:ext>
                </c:extLst>
              </c15:ser>
            </c15:filteredBarSeries>
            <c15:filteredBarSeries>
              <c15:ser>
                <c:idx val="1"/>
                <c:order val="1"/>
                <c:invertIfNegative val="1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'IND2'!$C$5:$N$5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'IND2'!$C$7:$N$7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5F1-4955-8A70-ED9AFC12324F}"/>
                  </c:ext>
                </c:extLst>
              </c15:ser>
            </c15:filteredBarSeries>
          </c:ext>
        </c:extLst>
      </c:barChart>
      <c:catAx>
        <c:axId val="209227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2051706065"/>
        <c:crosses val="autoZero"/>
        <c:auto val="1"/>
        <c:lblAlgn val="ctr"/>
        <c:lblOffset val="100"/>
        <c:noMultiLvlLbl val="1"/>
      </c:catAx>
      <c:valAx>
        <c:axId val="2051706065"/>
        <c:scaling>
          <c:orientation val="minMax"/>
        </c:scaling>
        <c:delete val="0"/>
        <c:axPos val="l"/>
        <c:numFmt formatCode="0.0%" sourceLinked="1"/>
        <c:majorTickMark val="cross"/>
        <c:minorTickMark val="cross"/>
        <c:tickLblPos val="nextTo"/>
        <c:spPr>
          <a:ln>
            <a:noFill/>
          </a:ln>
        </c:spPr>
        <c:crossAx val="209227208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'IND2'!$M$3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31-4DB0-9883-691E2E3F9148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'IND2'!$L$3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831-4DB0-9883-691E2E3F9148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'IND2'!$K$3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831-4DB0-9883-691E2E3F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0264565"/>
        <c:axId val="782290455"/>
      </c:barChart>
      <c:catAx>
        <c:axId val="1800264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82290455"/>
        <c:crosses val="autoZero"/>
        <c:auto val="1"/>
        <c:lblAlgn val="ctr"/>
        <c:lblOffset val="100"/>
        <c:noMultiLvlLbl val="1"/>
      </c:catAx>
      <c:valAx>
        <c:axId val="78229045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80026456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7977405866091836E-2"/>
          <c:y val="7.4653235913078431E-2"/>
          <c:w val="0.94071874095585961"/>
          <c:h val="0.64308308308308304"/>
        </c:manualLayout>
      </c:layout>
      <c:barChart>
        <c:barDir val="col"/>
        <c:grouping val="clustered"/>
        <c:varyColors val="1"/>
        <c:ser>
          <c:idx val="0"/>
          <c:order val="0"/>
          <c:tx>
            <c:v>Indicador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'IND3'!$C$5:$N$5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'IND3'!$C$8:$N$8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A6-4F85-9657-468312B54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872226"/>
        <c:axId val="965654053"/>
      </c:barChart>
      <c:catAx>
        <c:axId val="513872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5654053"/>
        <c:crosses val="autoZero"/>
        <c:auto val="1"/>
        <c:lblAlgn val="ctr"/>
        <c:lblOffset val="100"/>
        <c:noMultiLvlLbl val="1"/>
      </c:catAx>
      <c:valAx>
        <c:axId val="96565405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5138722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0F-40A2-B016-2DDB1F5E0BC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90F-40A2-B016-2DDB1F5E0BC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'IND3'!$K$3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90F-40A2-B016-2DDB1F5E0BC0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A90F-40A2-B016-2DDB1F5E0BC0}"/>
              </c:ext>
            </c:extLst>
          </c:dPt>
          <c:val>
            <c:numRef>
              <c:f>'IND3'!$I$3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90F-40A2-B016-2DDB1F5E0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837897"/>
        <c:axId val="358437159"/>
      </c:barChart>
      <c:catAx>
        <c:axId val="1064837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358437159"/>
        <c:crosses val="autoZero"/>
        <c:auto val="1"/>
        <c:lblAlgn val="ctr"/>
        <c:lblOffset val="100"/>
        <c:noMultiLvlLbl val="1"/>
      </c:catAx>
      <c:valAx>
        <c:axId val="35843715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648378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83D-9025-425D5CE94353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E-483D-9025-425D5CE94353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E-483D-9025-425D5CE9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74351"/>
        <c:axId val="59962780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AE-483D-9025-425D5CE94353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E-483D-9025-425D5CE94353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AE-483D-9025-425D5CE94353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E-483D-9025-425D5CE94353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AE-483D-9025-425D5CE94353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AE-483D-9025-425D5CE94353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0AE-483D-9025-425D5CE94353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AE-483D-9025-425D5CE94353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0AE-483D-9025-425D5CE94353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AE-483D-9025-425D5CE94353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0AE-483D-9025-425D5CE94353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AE-483D-9025-425D5CE94353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0AE-483D-9025-425D5CE94353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0AE-483D-9025-425D5CE94353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AE-483D-9025-425D5CE94353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AE-483D-9025-425D5CE94353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0AE-483D-9025-425D5CE94353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0AE-483D-9025-425D5CE94353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0AE-483D-9025-425D5CE94353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0AE-483D-9025-425D5CE94353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0AE-483D-9025-425D5CE94353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AE-483D-9025-425D5CE94353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AE-483D-9025-425D5CE94353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0AE-483D-9025-425D5CE94353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0AE-483D-9025-425D5CE94353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0AE-483D-9025-425D5CE94353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0AE-483D-9025-425D5CE94353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0AE-483D-9025-425D5CE94353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0AE-483D-9025-425D5CE94353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0AE-483D-9025-425D5CE94353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0AE-483D-9025-425D5CE94353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0AE-483D-9025-425D5CE94353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0AE-483D-9025-425D5CE9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74351"/>
        <c:axId val="59962780"/>
      </c:lineChart>
      <c:catAx>
        <c:axId val="14137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59962780"/>
        <c:crosses val="autoZero"/>
        <c:auto val="1"/>
        <c:lblAlgn val="ctr"/>
        <c:lblOffset val="100"/>
        <c:noMultiLvlLbl val="1"/>
      </c:catAx>
      <c:valAx>
        <c:axId val="5996278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413743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B3-4AC6-8F77-D8D341C2BA48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B3-4AC6-8F77-D8D341C2BA48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'IND4'!$K$3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1B3-4AC6-8F77-D8D341C2BA48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21B3-4AC6-8F77-D8D341C2BA48}"/>
              </c:ext>
            </c:extLst>
          </c:dPt>
          <c:val>
            <c:numRef>
              <c:f>'IND4'!$I$3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1B3-4AC6-8F77-D8D341C2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0182087"/>
        <c:axId val="951173263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'IND4'!$J$3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B3-4AC6-8F77-D8D341C2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182087"/>
        <c:axId val="951173263"/>
      </c:lineChart>
      <c:catAx>
        <c:axId val="1550182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51173263"/>
        <c:crosses val="autoZero"/>
        <c:auto val="1"/>
        <c:lblAlgn val="ctr"/>
        <c:lblOffset val="100"/>
        <c:noMultiLvlLbl val="1"/>
      </c:catAx>
      <c:valAx>
        <c:axId val="95117326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55018208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3-4027-9ED4-46BC518F59BD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3-4027-9ED4-46BC518F59BD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3-4027-9ED4-46BC518F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240299"/>
        <c:axId val="67484612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33-4027-9ED4-46BC518F59BD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33-4027-9ED4-46BC518F59BD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33-4027-9ED4-46BC518F59BD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33-4027-9ED4-46BC518F59BD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33-4027-9ED4-46BC518F59BD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33-4027-9ED4-46BC518F59BD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33-4027-9ED4-46BC518F59BD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33-4027-9ED4-46BC518F59BD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33-4027-9ED4-46BC518F59BD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33-4027-9ED4-46BC518F59BD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33-4027-9ED4-46BC518F59BD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33-4027-9ED4-46BC518F59BD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33-4027-9ED4-46BC518F59BD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33-4027-9ED4-46BC518F59BD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33-4027-9ED4-46BC518F59BD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33-4027-9ED4-46BC518F59BD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33-4027-9ED4-46BC518F59BD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33-4027-9ED4-46BC518F59BD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33-4027-9ED4-46BC518F59BD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33-4027-9ED4-46BC518F59BD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33-4027-9ED4-46BC518F59BD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33-4027-9ED4-46BC518F59BD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33-4027-9ED4-46BC518F59BD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33-4027-9ED4-46BC518F59BD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33-4027-9ED4-46BC518F59BD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33-4027-9ED4-46BC518F59BD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33-4027-9ED4-46BC518F59BD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33-4027-9ED4-46BC518F59BD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133-4027-9ED4-46BC518F59BD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133-4027-9ED4-46BC518F59BD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133-4027-9ED4-46BC518F59BD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133-4027-9ED4-46BC518F59BD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133-4027-9ED4-46BC518F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40299"/>
        <c:axId val="674846124"/>
      </c:lineChart>
      <c:catAx>
        <c:axId val="928240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674846124"/>
        <c:crosses val="autoZero"/>
        <c:auto val="1"/>
        <c:lblAlgn val="ctr"/>
        <c:lblOffset val="100"/>
        <c:noMultiLvlLbl val="1"/>
      </c:catAx>
      <c:valAx>
        <c:axId val="6748461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282402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4272659435596"/>
          <c:y val="5.2661296519650271E-2"/>
          <c:w val="0.86549183772493243"/>
          <c:h val="0.73794103201785299"/>
        </c:manualLayout>
      </c:layout>
      <c:barChart>
        <c:barDir val="col"/>
        <c:grouping val="clustered"/>
        <c:varyColors val="1"/>
        <c:ser>
          <c:idx val="0"/>
          <c:order val="0"/>
          <c:tx>
            <c:v>Indicador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'IND5'!$C$5:$N$5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'IND5'!$C$8:$N$8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F6-4A16-9169-EA44742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945549"/>
        <c:axId val="859683683"/>
      </c:barChart>
      <c:catAx>
        <c:axId val="424945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859683683"/>
        <c:crosses val="autoZero"/>
        <c:auto val="1"/>
        <c:lblAlgn val="ctr"/>
        <c:lblOffset val="100"/>
        <c:noMultiLvlLbl val="1"/>
      </c:catAx>
      <c:valAx>
        <c:axId val="85968368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4249455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74-4973-93D4-FCE7D9BF0035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74-4973-93D4-FCE7D9BF0035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'IND5'!$K$3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74-4973-93D4-FCE7D9BF0035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B574-4973-93D4-FCE7D9BF0035}"/>
              </c:ext>
            </c:extLst>
          </c:dPt>
          <c:val>
            <c:numRef>
              <c:f>'IND5'!$I$3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574-4973-93D4-FCE7D9BF0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382397"/>
        <c:axId val="1624517768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'IND5'!$J$3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74-4973-93D4-FCE7D9BF0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382397"/>
        <c:axId val="1624517768"/>
      </c:lineChart>
      <c:catAx>
        <c:axId val="848382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24517768"/>
        <c:crosses val="autoZero"/>
        <c:auto val="1"/>
        <c:lblAlgn val="ctr"/>
        <c:lblOffset val="100"/>
        <c:noMultiLvlLbl val="1"/>
      </c:catAx>
      <c:valAx>
        <c:axId val="16245177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48382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4470-A3F3-E054507A5FC8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7-4470-A3F3-E054507A5FC8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7-4470-A3F3-E054507A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88589"/>
        <c:axId val="955189786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7-4470-A3F3-E054507A5FC8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7-4470-A3F3-E054507A5FC8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7-4470-A3F3-E054507A5FC8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F7-4470-A3F3-E054507A5FC8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F7-4470-A3F3-E054507A5FC8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F7-4470-A3F3-E054507A5FC8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F7-4470-A3F3-E054507A5FC8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F7-4470-A3F3-E054507A5FC8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F7-4470-A3F3-E054507A5FC8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F7-4470-A3F3-E054507A5FC8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F7-4470-A3F3-E054507A5FC8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F7-4470-A3F3-E054507A5FC8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F7-4470-A3F3-E054507A5FC8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F7-4470-A3F3-E054507A5FC8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F7-4470-A3F3-E054507A5FC8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F7-4470-A3F3-E054507A5FC8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F7-4470-A3F3-E054507A5FC8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F7-4470-A3F3-E054507A5FC8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6F7-4470-A3F3-E054507A5FC8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F7-4470-A3F3-E054507A5FC8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6F7-4470-A3F3-E054507A5FC8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F7-4470-A3F3-E054507A5FC8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F7-4470-A3F3-E054507A5FC8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F7-4470-A3F3-E054507A5FC8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6F7-4470-A3F3-E054507A5FC8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F7-4470-A3F3-E054507A5FC8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6F7-4470-A3F3-E054507A5FC8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F7-4470-A3F3-E054507A5FC8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6F7-4470-A3F3-E054507A5FC8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6F7-4470-A3F3-E054507A5FC8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6F7-4470-A3F3-E054507A5FC8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6F7-4470-A3F3-E054507A5FC8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6F7-4470-A3F3-E054507A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288589"/>
        <c:axId val="955189786"/>
      </c:lineChart>
      <c:catAx>
        <c:axId val="1132288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55189786"/>
        <c:crosses val="autoZero"/>
        <c:auto val="1"/>
        <c:lblAlgn val="ctr"/>
        <c:lblOffset val="100"/>
        <c:noMultiLvlLbl val="1"/>
      </c:catAx>
      <c:valAx>
        <c:axId val="95518978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13228858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F1-4651-AD36-509892DB5816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F1-4651-AD36-509892DB5816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9F1-4651-AD36-509892DB5816}"/>
            </c:ext>
          </c:extLst>
        </c:ser>
        <c:ser>
          <c:idx val="3"/>
          <c:order val="3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'IND6'!$I$3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9F1-4651-AD36-509892DB5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8824356"/>
        <c:axId val="1754298285"/>
      </c:barChart>
      <c:catAx>
        <c:axId val="498824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754298285"/>
        <c:crosses val="autoZero"/>
        <c:auto val="1"/>
        <c:lblAlgn val="ctr"/>
        <c:lblOffset val="100"/>
        <c:noMultiLvlLbl val="1"/>
      </c:catAx>
      <c:valAx>
        <c:axId val="17542982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4988243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7-4715-9756-E6143588D847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7-4715-9756-E6143588D847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7-4715-9756-E6143588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85762"/>
        <c:axId val="681307407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7-4715-9756-E6143588D847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67-4715-9756-E6143588D847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7-4715-9756-E6143588D847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7-4715-9756-E6143588D847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7-4715-9756-E6143588D847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7-4715-9756-E6143588D847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7-4715-9756-E6143588D847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67-4715-9756-E6143588D847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67-4715-9756-E6143588D847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67-4715-9756-E6143588D847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67-4715-9756-E6143588D847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67-4715-9756-E6143588D847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667-4715-9756-E6143588D847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67-4715-9756-E6143588D847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667-4715-9756-E6143588D847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67-4715-9756-E6143588D847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667-4715-9756-E6143588D847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67-4715-9756-E6143588D847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667-4715-9756-E6143588D847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67-4715-9756-E6143588D847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667-4715-9756-E6143588D847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67-4715-9756-E6143588D847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667-4715-9756-E6143588D847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67-4715-9756-E6143588D847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667-4715-9756-E6143588D847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67-4715-9756-E6143588D847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667-4715-9756-E6143588D847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67-4715-9756-E6143588D847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667-4715-9756-E6143588D847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67-4715-9756-E6143588D847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667-4715-9756-E6143588D847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67-4715-9756-E6143588D847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667-4715-9756-E6143588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685762"/>
        <c:axId val="681307407"/>
      </c:lineChart>
      <c:catAx>
        <c:axId val="1211685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681307407"/>
        <c:crosses val="autoZero"/>
        <c:auto val="1"/>
        <c:lblAlgn val="ctr"/>
        <c:lblOffset val="100"/>
        <c:noMultiLvlLbl val="1"/>
      </c:catAx>
      <c:valAx>
        <c:axId val="68130740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21168576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F3-45E1-B59D-E7C4E743771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F3-45E1-B59D-E7C4E743771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'IND7'!$K$3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F3-45E1-B59D-E7C4E7437710}"/>
            </c:ext>
          </c:extLst>
        </c:ser>
        <c:ser>
          <c:idx val="3"/>
          <c:order val="3"/>
          <c:invertIfNegative val="1"/>
          <c:val>
            <c:numRef>
              <c:f>'IND7'!$I$3</c:f>
              <c:numCache>
                <c:formatCode>0%</c:formatCode>
                <c:ptCount val="1"/>
                <c:pt idx="0">
                  <c:v>8.4371439525252029E-2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3-45E1-B59D-E7C4E7437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8426663"/>
        <c:axId val="1604551485"/>
      </c:barChart>
      <c:catAx>
        <c:axId val="123842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04551485"/>
        <c:crosses val="autoZero"/>
        <c:auto val="1"/>
        <c:lblAlgn val="ctr"/>
        <c:lblOffset val="100"/>
        <c:noMultiLvlLbl val="1"/>
      </c:catAx>
      <c:valAx>
        <c:axId val="16045514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3842666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6-4847-81E1-3EDA514CAAB2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6-4847-81E1-3EDA514CAAB2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6-4847-81E1-3EDA514C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789427"/>
        <c:axId val="1799456142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6-4847-81E1-3EDA514CAAB2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E6-4847-81E1-3EDA514CAAB2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E6-4847-81E1-3EDA514CAAB2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E6-4847-81E1-3EDA514CAAB2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E6-4847-81E1-3EDA514CAAB2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E6-4847-81E1-3EDA514CAAB2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E6-4847-81E1-3EDA514CAAB2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E6-4847-81E1-3EDA514CAAB2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E6-4847-81E1-3EDA514CAAB2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E6-4847-81E1-3EDA514CAAB2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9E6-4847-81E1-3EDA514CAAB2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E6-4847-81E1-3EDA514CAAB2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9E6-4847-81E1-3EDA514CAAB2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E6-4847-81E1-3EDA514CAAB2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9E6-4847-81E1-3EDA514CAAB2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9E6-4847-81E1-3EDA514CAAB2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9E6-4847-81E1-3EDA514CAAB2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9E6-4847-81E1-3EDA514CAAB2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9E6-4847-81E1-3EDA514CAAB2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9E6-4847-81E1-3EDA514CAAB2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9E6-4847-81E1-3EDA514CAAB2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9E6-4847-81E1-3EDA514CAAB2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9E6-4847-81E1-3EDA514CAAB2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9E6-4847-81E1-3EDA514CAAB2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9E6-4847-81E1-3EDA514CAAB2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9E6-4847-81E1-3EDA514CAAB2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9E6-4847-81E1-3EDA514CAAB2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9E6-4847-81E1-3EDA514CAAB2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9E6-4847-81E1-3EDA514CAAB2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9E6-4847-81E1-3EDA514CAAB2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9E6-4847-81E1-3EDA514CAAB2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9E6-4847-81E1-3EDA514CAAB2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9E6-4847-81E1-3EDA514C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789427"/>
        <c:axId val="1799456142"/>
      </c:lineChart>
      <c:catAx>
        <c:axId val="880789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799456142"/>
        <c:crosses val="autoZero"/>
        <c:auto val="1"/>
        <c:lblAlgn val="ctr"/>
        <c:lblOffset val="100"/>
        <c:noMultiLvlLbl val="1"/>
      </c:catAx>
      <c:valAx>
        <c:axId val="179945614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88078942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F7-4934-9EDD-CB9A975D4EA3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F7-4934-9EDD-CB9A975D4EA3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'IND8'!$K$3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F7-4934-9EDD-CB9A975D4EA3}"/>
            </c:ext>
          </c:extLst>
        </c:ser>
        <c:ser>
          <c:idx val="3"/>
          <c:order val="3"/>
          <c:tx>
            <c:v>RESULTADO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2EF7-4934-9EDD-CB9A975D4EA3}"/>
              </c:ext>
            </c:extLst>
          </c:dPt>
          <c:val>
            <c:numRef>
              <c:f>'IND8'!$I$3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F7-4934-9EDD-CB9A975D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829695"/>
        <c:axId val="827239848"/>
      </c:barChart>
      <c:lineChart>
        <c:grouping val="standard"/>
        <c:varyColors val="0"/>
        <c:ser>
          <c:idx val="4"/>
          <c:order val="4"/>
          <c:tx>
            <c:v>META</c:v>
          </c:tx>
          <c:spPr>
            <a:ln w="28575" cmpd="sng">
              <a:solidFill>
                <a:srgbClr val="000000">
                  <a:alpha val="0"/>
                </a:srgbClr>
              </a:solidFill>
            </a:ln>
          </c:spPr>
          <c:marker>
            <c:symbol val="circle"/>
            <c:size val="60"/>
            <c:spPr>
              <a:solidFill>
                <a:srgbClr val="000000">
                  <a:alpha val="0"/>
                </a:srgbClr>
              </a:solidFill>
              <a:ln cmpd="sng">
                <a:solidFill>
                  <a:srgbClr val="000000">
                    <a:alpha val="0"/>
                  </a:srgbClr>
                </a:solidFill>
              </a:ln>
            </c:spPr>
          </c:marker>
          <c:val>
            <c:numRef>
              <c:f>'IND8'!$J$3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F7-4934-9EDD-CB9A975D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829695"/>
        <c:axId val="827239848"/>
      </c:lineChart>
      <c:catAx>
        <c:axId val="144282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27239848"/>
        <c:crosses val="autoZero"/>
        <c:auto val="1"/>
        <c:lblAlgn val="ctr"/>
        <c:lblOffset val="100"/>
        <c:noMultiLvlLbl val="1"/>
      </c:catAx>
      <c:valAx>
        <c:axId val="82723984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4428296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342-A5FA-ACE6B65FB88A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D-4342-A5FA-ACE6B65FB88A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D-4342-A5FA-ACE6B65F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55658"/>
        <c:axId val="96228511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D-4342-A5FA-ACE6B65FB88A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7D-4342-A5FA-ACE6B65FB88A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7D-4342-A5FA-ACE6B65FB88A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7D-4342-A5FA-ACE6B65FB88A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7D-4342-A5FA-ACE6B65FB88A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7D-4342-A5FA-ACE6B65FB88A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7D-4342-A5FA-ACE6B65FB88A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7D-4342-A5FA-ACE6B65FB88A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47D-4342-A5FA-ACE6B65FB88A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7D-4342-A5FA-ACE6B65FB88A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7D-4342-A5FA-ACE6B65FB88A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7D-4342-A5FA-ACE6B65FB88A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7D-4342-A5FA-ACE6B65FB88A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7D-4342-A5FA-ACE6B65FB88A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7D-4342-A5FA-ACE6B65FB88A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7D-4342-A5FA-ACE6B65FB88A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7D-4342-A5FA-ACE6B65FB88A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7D-4342-A5FA-ACE6B65FB88A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7D-4342-A5FA-ACE6B65FB88A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47D-4342-A5FA-ACE6B65FB88A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7D-4342-A5FA-ACE6B65FB88A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47D-4342-A5FA-ACE6B65FB88A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47D-4342-A5FA-ACE6B65FB88A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7D-4342-A5FA-ACE6B65FB88A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47D-4342-A5FA-ACE6B65FB88A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47D-4342-A5FA-ACE6B65FB88A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47D-4342-A5FA-ACE6B65FB88A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47D-4342-A5FA-ACE6B65FB88A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47D-4342-A5FA-ACE6B65FB88A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47D-4342-A5FA-ACE6B65FB88A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47D-4342-A5FA-ACE6B65FB88A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47D-4342-A5FA-ACE6B65FB88A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47D-4342-A5FA-ACE6B65F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55658"/>
        <c:axId val="962285114"/>
      </c:lineChart>
      <c:catAx>
        <c:axId val="199055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2285114"/>
        <c:crosses val="autoZero"/>
        <c:auto val="1"/>
        <c:lblAlgn val="ctr"/>
        <c:lblOffset val="100"/>
        <c:noMultiLvlLbl val="1"/>
      </c:catAx>
      <c:valAx>
        <c:axId val="96228511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9905556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40-4877-959B-486DE4CC2869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40-4877-959B-486DE4CC2869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'IND9'!$K$3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C40-4877-959B-486DE4CC2869}"/>
            </c:ext>
          </c:extLst>
        </c:ser>
        <c:ser>
          <c:idx val="3"/>
          <c:order val="3"/>
          <c:invertIfNegative val="1"/>
          <c:val>
            <c:numRef>
              <c:f>'IND9'!$I$3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40-4877-959B-486DE4CC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234416"/>
        <c:axId val="948618116"/>
      </c:barChart>
      <c:catAx>
        <c:axId val="94323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8618116"/>
        <c:crosses val="autoZero"/>
        <c:auto val="1"/>
        <c:lblAlgn val="ctr"/>
        <c:lblOffset val="100"/>
        <c:noMultiLvlLbl val="1"/>
      </c:catAx>
      <c:valAx>
        <c:axId val="9486181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32344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8-4448-B50A-E8FAF252B49C}"/>
            </c:ext>
          </c:extLst>
        </c:ser>
        <c:ser>
          <c:idx val="1"/>
          <c:order val="1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8-4448-B50A-E8FAF252B49C}"/>
            </c:ext>
          </c:extLst>
        </c:ser>
        <c:ser>
          <c:idx val="2"/>
          <c:order val="2"/>
          <c:spPr>
            <a:solidFill>
              <a:srgbClr val="000000">
                <a:alpha val="30000"/>
              </a:srgb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8-4448-B50A-E8FAF252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55658"/>
        <c:axId val="962285114"/>
      </c:areaChart>
      <c:lineChart>
        <c:grouping val="standard"/>
        <c:varyColors val="1"/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88-4448-B50A-E8FAF252B49C}"/>
            </c:ext>
          </c:extLst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88-4448-B50A-E8FAF252B49C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88-4448-B50A-E8FAF252B49C}"/>
            </c:ext>
          </c:extLst>
        </c:ser>
        <c:ser>
          <c:idx val="6"/>
          <c:order val="6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88-4448-B50A-E8FAF252B49C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88-4448-B50A-E8FAF252B49C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88-4448-B50A-E8FAF252B49C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88-4448-B50A-E8FAF252B49C}"/>
            </c:ext>
          </c:extLst>
        </c:ser>
        <c:ser>
          <c:idx val="10"/>
          <c:order val="10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88-4448-B50A-E8FAF252B49C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88-4448-B50A-E8FAF252B49C}"/>
            </c:ext>
          </c:extLst>
        </c:ser>
        <c:ser>
          <c:idx val="12"/>
          <c:order val="12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88-4448-B50A-E8FAF252B49C}"/>
            </c:ext>
          </c:extLst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88-4448-B50A-E8FAF252B49C}"/>
            </c:ext>
          </c:extLst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88-4448-B50A-E8FAF252B49C}"/>
            </c:ext>
          </c:extLst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88-4448-B50A-E8FAF252B49C}"/>
            </c:ext>
          </c:extLst>
        </c:ser>
        <c:ser>
          <c:idx val="16"/>
          <c:order val="16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88-4448-B50A-E8FAF252B49C}"/>
            </c:ext>
          </c:extLst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88-4448-B50A-E8FAF252B49C}"/>
            </c:ext>
          </c:extLst>
        </c:ser>
        <c:ser>
          <c:idx val="18"/>
          <c:order val="18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88-4448-B50A-E8FAF252B49C}"/>
            </c:ext>
          </c:extLst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88-4448-B50A-E8FAF252B49C}"/>
            </c:ext>
          </c:extLst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88-4448-B50A-E8FAF252B49C}"/>
            </c:ext>
          </c:extLst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888-4448-B50A-E8FAF252B49C}"/>
            </c:ext>
          </c:extLst>
        </c:ser>
        <c:ser>
          <c:idx val="22"/>
          <c:order val="22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88-4448-B50A-E8FAF252B49C}"/>
            </c:ext>
          </c:extLst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888-4448-B50A-E8FAF252B49C}"/>
            </c:ext>
          </c:extLst>
        </c:ser>
        <c:ser>
          <c:idx val="24"/>
          <c:order val="24"/>
          <c:spPr>
            <a:ln cmpd="sng">
              <a:solidFill>
                <a:srgbClr val="251B0B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88-4448-B50A-E8FAF252B49C}"/>
            </c:ext>
          </c:extLst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888-4448-B50A-E8FAF252B49C}"/>
            </c:ext>
          </c:extLst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88-4448-B50A-E8FAF252B49C}"/>
            </c:ext>
          </c:extLst>
        </c:ser>
        <c:ser>
          <c:idx val="27"/>
          <c:order val="27"/>
          <c:spPr>
            <a:ln cmpd="sng">
              <a:solidFill>
                <a:srgbClr val="FF0D32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888-4448-B50A-E8FAF252B49C}"/>
            </c:ext>
          </c:extLst>
        </c:ser>
        <c:ser>
          <c:idx val="28"/>
          <c:order val="28"/>
          <c:spPr>
            <a:ln cmpd="sng">
              <a:solidFill>
                <a:srgbClr val="211307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88-4448-B50A-E8FAF252B49C}"/>
            </c:ext>
          </c:extLst>
        </c:ser>
        <c:ser>
          <c:idx val="29"/>
          <c:order val="29"/>
          <c:spPr>
            <a:ln cmpd="sng">
              <a:solidFill>
                <a:srgbClr val="1D0F24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888-4448-B50A-E8FAF252B49C}"/>
            </c:ext>
          </c:extLst>
        </c:ser>
        <c:ser>
          <c:idx val="30"/>
          <c:order val="30"/>
          <c:spPr>
            <a:ln cmpd="sng">
              <a:solidFill>
                <a:srgbClr val="5D471D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88-4448-B50A-E8FAF252B49C}"/>
            </c:ext>
          </c:extLst>
        </c:ser>
        <c:ser>
          <c:idx val="31"/>
          <c:order val="31"/>
          <c:spPr>
            <a:ln cmpd="sng">
              <a:solidFill>
                <a:srgbClr val="094166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888-4448-B50A-E8FAF252B49C}"/>
            </c:ext>
          </c:extLst>
        </c:ser>
        <c:ser>
          <c:idx val="32"/>
          <c:order val="32"/>
          <c:spPr>
            <a:ln cmpd="sng">
              <a:solidFill>
                <a:srgbClr val="2D2D2C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88-4448-B50A-E8FAF252B49C}"/>
            </c:ext>
          </c:extLst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888-4448-B50A-E8FAF252B49C}"/>
            </c:ext>
          </c:extLst>
        </c:ser>
        <c:ser>
          <c:idx val="34"/>
          <c:order val="34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88-4448-B50A-E8FAF252B49C}"/>
            </c:ext>
          </c:extLst>
        </c:ser>
        <c:ser>
          <c:idx val="35"/>
          <c:order val="35"/>
          <c:spPr>
            <a:ln cmpd="sng">
              <a:solidFill>
                <a:srgbClr val="47295B"/>
              </a:solidFill>
            </a:ln>
          </c:spPr>
          <c:marker>
            <c:symbol val="none"/>
          </c:marker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888-4448-B50A-E8FAF252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55658"/>
        <c:axId val="962285114"/>
      </c:lineChart>
      <c:catAx>
        <c:axId val="199055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962285114"/>
        <c:crosses val="autoZero"/>
        <c:auto val="1"/>
        <c:lblAlgn val="ctr"/>
        <c:lblOffset val="100"/>
        <c:noMultiLvlLbl val="1"/>
      </c:catAx>
      <c:valAx>
        <c:axId val="96228511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PE"/>
          </a:p>
        </c:txPr>
        <c:crossAx val="19905556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MALO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'IND10'!$M$3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A0-493B-9D7A-4358580082A0}"/>
            </c:ext>
          </c:extLst>
        </c:ser>
        <c:ser>
          <c:idx val="1"/>
          <c:order val="1"/>
          <c:tx>
            <c:v>REGULAR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'IND10'!$L$3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8A0-493B-9D7A-4358580082A0}"/>
            </c:ext>
          </c:extLst>
        </c:ser>
        <c:ser>
          <c:idx val="2"/>
          <c:order val="2"/>
          <c:tx>
            <c:v>BUENO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'IND10'!$K$3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8A0-493B-9D7A-4358580082A0}"/>
            </c:ext>
          </c:extLst>
        </c:ser>
        <c:ser>
          <c:idx val="3"/>
          <c:order val="3"/>
          <c:invertIfNegative val="1"/>
          <c:val>
            <c:numRef>
              <c:f>'IND10'!$I$3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A0-493B-9D7A-43585800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234416"/>
        <c:axId val="948618116"/>
      </c:barChart>
      <c:catAx>
        <c:axId val="94323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8618116"/>
        <c:crosses val="autoZero"/>
        <c:auto val="1"/>
        <c:lblAlgn val="ctr"/>
        <c:lblOffset val="100"/>
        <c:noMultiLvlLbl val="1"/>
      </c:catAx>
      <c:valAx>
        <c:axId val="94861811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432344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1095375</xdr:colOff>
      <xdr:row>0</xdr:row>
      <xdr:rowOff>133350</xdr:rowOff>
    </xdr:from>
    <xdr:ext cx="9191625" cy="88011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73257" y="133350"/>
          <a:ext cx="9191625" cy="880110"/>
          <a:chOff x="645413" y="3198975"/>
          <a:chExt cx="9401175" cy="11620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645413" y="3198975"/>
            <a:ext cx="9401175" cy="1162050"/>
            <a:chOff x="645413" y="3198975"/>
            <a:chExt cx="9401175" cy="11620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45413" y="3198975"/>
              <a:ext cx="94011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645413" y="3198975"/>
              <a:ext cx="9401175" cy="1162050"/>
              <a:chOff x="645413" y="3198975"/>
              <a:chExt cx="9401175" cy="116205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645413" y="3198975"/>
                <a:ext cx="940117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645413" y="3198975"/>
                <a:ext cx="9401175" cy="1162050"/>
                <a:chOff x="645413" y="3198975"/>
                <a:chExt cx="9401175" cy="116205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645413" y="3198975"/>
                  <a:ext cx="940117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645413" y="3198975"/>
                  <a:ext cx="9401175" cy="1162050"/>
                  <a:chOff x="192803" y="70945"/>
                  <a:chExt cx="7738952" cy="1090824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289515" y="855091"/>
                    <a:ext cx="1530569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22/06/2023</a:t>
                    </a:r>
                    <a:endParaRPr sz="1400"/>
                  </a:p>
                </xdr:txBody>
              </xdr:sp>
              <xdr:grpSp>
                <xdr:nvGrp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GrpSpPr/>
                </xdr:nvGrpSpPr>
                <xdr:grpSpPr>
                  <a:xfrm>
                    <a:off x="192803" y="70945"/>
                    <a:ext cx="7738952" cy="1090824"/>
                    <a:chOff x="192803" y="70945"/>
                    <a:chExt cx="7738952" cy="1090824"/>
                  </a:xfrm>
                </xdr:grpSpPr>
                <xdr:sp macro="" textlink="">
                  <xdr:nv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5" name="Shape 15">
                      <a:extLst>
                        <a:ext uri="{FF2B5EF4-FFF2-40B4-BE49-F238E27FC236}">
                          <a16:creationId xmlns:a16="http://schemas.microsoft.com/office/drawing/2014/main" id="{00000000-0008-0000-0000-00000F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6" name="Shape 16">
                      <a:extLst>
                        <a:ext uri="{FF2B5EF4-FFF2-40B4-BE49-F238E27FC236}">
                          <a16:creationId xmlns:a16="http://schemas.microsoft.com/office/drawing/2014/main" id="{00000000-0008-0000-0000-000010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7" name="Shape 17">
                      <a:extLst>
                        <a:ext uri="{FF2B5EF4-FFF2-40B4-BE49-F238E27FC236}">
                          <a16:creationId xmlns:a16="http://schemas.microsoft.com/office/drawing/2014/main" id="{00000000-0008-0000-0000-000011000000}"/>
                        </a:ext>
                      </a:extLst>
                    </xdr:cNvPr>
                    <xdr:cNvSpPr/>
                  </xdr:nvSpPr>
                  <xdr:spPr>
                    <a:xfrm>
                      <a:off x="5323876" y="828817"/>
                      <a:ext cx="2607879" cy="332952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000-000012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000-000013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000-000014000000}"/>
                        </a:ext>
                      </a:extLst>
                    </xdr:cNvPr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1" name="Shape 21">
                      <a:extLst>
                        <a:ext uri="{FF2B5EF4-FFF2-40B4-BE49-F238E27FC236}">
                          <a16:creationId xmlns:a16="http://schemas.microsoft.com/office/drawing/2014/main" id="{00000000-0008-0000-0000-000015000000}"/>
                        </a:ext>
                      </a:extLst>
                    </xdr:cNvPr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  <a:sym typeface="Arial"/>
                        </a:rPr>
                        <a:t>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22" name="Shape 22">
                      <a:extLst>
                        <a:ext uri="{FF2B5EF4-FFF2-40B4-BE49-F238E27FC236}">
                          <a16:creationId xmlns:a16="http://schemas.microsoft.com/office/drawing/2014/main" id="{00000000-0008-0000-0000-000016000000}"/>
                        </a:ext>
                      </a:extLst>
                    </xdr:cNvPr>
                    <xdr:cNvSpPr/>
                  </xdr:nvSpPr>
                  <xdr:spPr>
                    <a:xfrm>
                      <a:off x="6256735" y="510162"/>
                      <a:ext cx="1622400" cy="2124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23" name="Shape 23">
                      <a:extLst>
                        <a:ext uri="{FF2B5EF4-FFF2-40B4-BE49-F238E27FC236}">
                          <a16:creationId xmlns:a16="http://schemas.microsoft.com/office/drawing/2014/main" id="{00000000-0008-0000-0000-000017000000}"/>
                        </a:ext>
                      </a:extLst>
                    </xdr:cNvPr>
                    <xdr:cNvSpPr/>
                  </xdr:nvSpPr>
                  <xdr:spPr>
                    <a:xfrm>
                      <a:off x="6248172" y="887937"/>
                      <a:ext cx="1622534" cy="212459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24" name="Shape 24">
                      <a:extLst>
                        <a:ext uri="{FF2B5EF4-FFF2-40B4-BE49-F238E27FC236}">
                          <a16:creationId xmlns:a16="http://schemas.microsoft.com/office/drawing/2014/main" id="{00000000-0008-0000-0000-000018000000}"/>
                        </a:ext>
                      </a:extLst>
                    </xdr:cNvPr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lang="en-US" sz="1200" b="1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LISTA DE INDICADORES</a:t>
                      </a:r>
                      <a:endParaRPr sz="1400"/>
                    </a:p>
                  </xdr:txBody>
                </xdr:sp>
                <xdr:pic>
                  <xdr:nvPic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000-000019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192803" y="133501"/>
                      <a:ext cx="1756996" cy="90891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885825</xdr:colOff>
      <xdr:row>20</xdr:row>
      <xdr:rowOff>142875</xdr:rowOff>
    </xdr:from>
    <xdr:ext cx="8229600" cy="10858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192282" y="10048875"/>
          <a:ext cx="8229600" cy="1085850"/>
          <a:chOff x="1231200" y="3237075"/>
          <a:chExt cx="8229600" cy="1085850"/>
        </a:xfrm>
      </xdr:grpSpPr>
      <xdr:grpSp>
        <xdr:nvGrpSpPr>
          <xdr:cNvPr id="27" name="Shap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1231200" y="3237075"/>
            <a:ext cx="8229600" cy="1085850"/>
            <a:chOff x="1231200" y="3237075"/>
            <a:chExt cx="8229600" cy="1085850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1231200" y="3237075"/>
              <a:ext cx="8229600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7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1231200" y="3237075"/>
              <a:ext cx="8229600" cy="1085850"/>
              <a:chOff x="1231200" y="3237075"/>
              <a:chExt cx="8229600" cy="1085850"/>
            </a:xfrm>
          </xdr:grpSpPr>
          <xdr:sp macro="" textlink="">
            <xdr:nvSpPr>
              <xdr:cNvPr id="30" name="Shape 28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1231200" y="3237075"/>
                <a:ext cx="8229600" cy="1085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GrpSpPr/>
            </xdr:nvGrpSpPr>
            <xdr:grpSpPr>
              <a:xfrm>
                <a:off x="1231200" y="3237075"/>
                <a:ext cx="8229600" cy="1085850"/>
                <a:chOff x="1231200" y="3237075"/>
                <a:chExt cx="8229600" cy="1085850"/>
              </a:xfrm>
            </xdr:grpSpPr>
            <xdr:sp macro="" textlink="">
              <xdr:nvSpPr>
                <xdr:cNvPr id="32" name="Shape 30">
                  <a:extLst>
                    <a:ext uri="{FF2B5EF4-FFF2-40B4-BE49-F238E27FC236}">
                      <a16:creationId xmlns:a16="http://schemas.microsoft.com/office/drawing/2014/main" id="{00000000-0008-0000-0000-000020000000}"/>
                    </a:ext>
                  </a:extLst>
                </xdr:cNvPr>
                <xdr:cNvSpPr/>
              </xdr:nvSpPr>
              <xdr:spPr>
                <a:xfrm>
                  <a:off x="1231200" y="3237075"/>
                  <a:ext cx="8229600" cy="1085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31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GrpSpPr/>
              </xdr:nvGrpSpPr>
              <xdr:grpSpPr>
                <a:xfrm>
                  <a:off x="1231200" y="3237075"/>
                  <a:ext cx="8229600" cy="1085850"/>
                  <a:chOff x="141514" y="12252347"/>
                  <a:chExt cx="7573680" cy="917116"/>
                </a:xfrm>
              </xdr:grpSpPr>
              <xdr:sp macro="" textlink="">
                <xdr:nvSpPr>
                  <xdr:cNvPr id="34" name="Shape 32">
                    <a:extLst>
                      <a:ext uri="{FF2B5EF4-FFF2-40B4-BE49-F238E27FC236}">
                        <a16:creationId xmlns:a16="http://schemas.microsoft.com/office/drawing/2014/main" id="{00000000-0008-0000-0000-000022000000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675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5" name="Shape 33">
                    <a:extLst>
                      <a:ext uri="{FF2B5EF4-FFF2-40B4-BE49-F238E27FC236}">
                        <a16:creationId xmlns:a16="http://schemas.microsoft.com/office/drawing/2014/main" id="{00000000-0008-0000-0000-000023000000}"/>
                      </a:ext>
                    </a:extLst>
                  </xdr:cNvPr>
                  <xdr:cNvGrpSpPr/>
                </xdr:nvGrpSpPr>
                <xdr:grpSpPr>
                  <a:xfrm>
                    <a:off x="141514" y="12252347"/>
                    <a:ext cx="2682240" cy="916646"/>
                    <a:chOff x="0" y="5208919"/>
                    <a:chExt cx="2736792" cy="927779"/>
                  </a:xfrm>
                </xdr:grpSpPr>
                <xdr:grpSp>
                  <xdr:nvGrpSpPr>
                    <xdr:cNvPr id="36" name="Shape 34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5208919"/>
                      <a:ext cx="2736792" cy="925398"/>
                      <a:chOff x="0" y="5208919"/>
                      <a:chExt cx="2736792" cy="925398"/>
                    </a:xfrm>
                  </xdr:grpSpPr>
                  <xdr:grpSp>
                    <xdr:nvGrpSpPr>
                      <xdr:cNvPr id="37" name="Shape 35">
                        <a:extLst>
                          <a:ext uri="{FF2B5EF4-FFF2-40B4-BE49-F238E27FC236}">
                            <a16:creationId xmlns:a16="http://schemas.microsoft.com/office/drawing/2014/main" id="{00000000-0008-0000-0000-00002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5208919"/>
                        <a:ext cx="2736792" cy="925398"/>
                        <a:chOff x="0" y="5208919"/>
                        <a:chExt cx="2736792" cy="925398"/>
                      </a:xfrm>
                    </xdr:grpSpPr>
                    <xdr:sp macro="" textlink="">
                      <xdr:nvSpPr>
                        <xdr:cNvPr id="38" name="Shape 36">
                          <a:extLst>
                            <a:ext uri="{FF2B5EF4-FFF2-40B4-BE49-F238E27FC236}">
                              <a16:creationId xmlns:a16="http://schemas.microsoft.com/office/drawing/2014/main" id="{00000000-0008-0000-0000-00002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84609" y="5373879"/>
                          <a:ext cx="1582989" cy="32420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Erika Espinoza Arenas</a:t>
                          </a:r>
                          <a:endParaRPr sz="1400"/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Coordinador SIG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39" name="Shape 37">
                          <a:extLst>
                            <a:ext uri="{FF2B5EF4-FFF2-40B4-BE49-F238E27FC236}">
                              <a16:creationId xmlns:a16="http://schemas.microsoft.com/office/drawing/2014/main" id="{00000000-0008-0000-0000-000027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40" name="Shape 38">
                          <a:extLst>
                            <a:ext uri="{FF2B5EF4-FFF2-40B4-BE49-F238E27FC236}">
                              <a16:creationId xmlns:a16="http://schemas.microsoft.com/office/drawing/2014/main" id="{00000000-0008-0000-0000-00002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06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41" name="Shape 39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22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42" name="Shape 40">
                          <a:extLst>
                            <a:ext uri="{FF2B5EF4-FFF2-40B4-BE49-F238E27FC236}">
                              <a16:creationId xmlns:a16="http://schemas.microsoft.com/office/drawing/2014/main" id="{00000000-0008-0000-0000-00002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43" name="Shape 41">
                          <a:extLst>
                            <a:ext uri="{FF2B5EF4-FFF2-40B4-BE49-F238E27FC236}">
                              <a16:creationId xmlns:a16="http://schemas.microsoft.com/office/drawing/2014/main" id="{00000000-0008-0000-0000-00002B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44" name="Shape 42">
                          <a:extLst>
                            <a:ext uri="{FF2B5EF4-FFF2-40B4-BE49-F238E27FC236}">
                              <a16:creationId xmlns:a16="http://schemas.microsoft.com/office/drawing/2014/main" id="{00000000-0008-0000-0000-00002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Elaborado: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45" name="Shape 43">
                          <a:extLst>
                            <a:ext uri="{FF2B5EF4-FFF2-40B4-BE49-F238E27FC236}">
                              <a16:creationId xmlns:a16="http://schemas.microsoft.com/office/drawing/2014/main" id="{00000000-0008-0000-0000-00002D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46" name="Shape 44">
                          <a:extLst>
                            <a:ext uri="{FF2B5EF4-FFF2-40B4-BE49-F238E27FC236}">
                              <a16:creationId xmlns:a16="http://schemas.microsoft.com/office/drawing/2014/main" id="{00000000-0008-0000-0000-00002E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633085"/>
                          <a:ext cx="519523" cy="20710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47" name="Shape 45">
                          <a:extLst>
                            <a:ext uri="{FF2B5EF4-FFF2-40B4-BE49-F238E27FC236}">
                              <a16:creationId xmlns:a16="http://schemas.microsoft.com/office/drawing/2014/main" id="{00000000-0008-0000-0000-00002F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60794" y="5208919"/>
                          <a:ext cx="2529396" cy="925398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  <xdr:cxnSp macro="">
                    <xdr:nvCxnSpPr>
                      <xdr:cNvPr id="48" name="Shape 46">
                        <a:extLst>
                          <a:ext uri="{FF2B5EF4-FFF2-40B4-BE49-F238E27FC236}">
                            <a16:creationId xmlns:a16="http://schemas.microsoft.com/office/drawing/2014/main" id="{00000000-0008-0000-0000-000030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</xdr:grpSp>
                <xdr:cxnSp macro="">
                  <xdr:nvCxnSpPr>
                    <xdr:cNvPr id="49" name="Shape 47">
                      <a:extLst>
                        <a:ext uri="{FF2B5EF4-FFF2-40B4-BE49-F238E27FC236}">
                          <a16:creationId xmlns:a16="http://schemas.microsoft.com/office/drawing/2014/main" id="{00000000-0008-0000-0000-000031000000}"/>
                        </a:ext>
                      </a:extLst>
                    </xdr:cNvPr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50" name="Shape 48">
                    <a:extLst>
                      <a:ext uri="{FF2B5EF4-FFF2-40B4-BE49-F238E27FC236}">
                        <a16:creationId xmlns:a16="http://schemas.microsoft.com/office/drawing/2014/main" id="{00000000-0008-0000-0000-000032000000}"/>
                      </a:ext>
                    </a:extLst>
                  </xdr:cNvPr>
                  <xdr:cNvGrpSpPr/>
                </xdr:nvGrpSpPr>
                <xdr:grpSpPr>
                  <a:xfrm>
                    <a:off x="5299654" y="12254717"/>
                    <a:ext cx="2415540" cy="913189"/>
                    <a:chOff x="0" y="5208919"/>
                    <a:chExt cx="2736792" cy="927779"/>
                  </a:xfrm>
                </xdr:grpSpPr>
                <xdr:grpSp>
                  <xdr:nvGrpSpPr>
                    <xdr:cNvPr id="51" name="Shape 49">
                      <a:extLst>
                        <a:ext uri="{FF2B5EF4-FFF2-40B4-BE49-F238E27FC236}">
                          <a16:creationId xmlns:a16="http://schemas.microsoft.com/office/drawing/2014/main" id="{00000000-0008-0000-0000-000033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5208919"/>
                      <a:ext cx="2736792" cy="925398"/>
                      <a:chOff x="0" y="5208919"/>
                      <a:chExt cx="2736792" cy="925398"/>
                    </a:xfrm>
                  </xdr:grpSpPr>
                  <xdr:grpSp>
                    <xdr:nvGrpSpPr>
                      <xdr:cNvPr id="52" name="Shape 50">
                        <a:extLst>
                          <a:ext uri="{FF2B5EF4-FFF2-40B4-BE49-F238E27FC236}">
                            <a16:creationId xmlns:a16="http://schemas.microsoft.com/office/drawing/2014/main" id="{00000000-0008-0000-0000-000034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5208919"/>
                        <a:ext cx="2736792" cy="925398"/>
                        <a:chOff x="0" y="5208919"/>
                        <a:chExt cx="2736792" cy="925398"/>
                      </a:xfrm>
                    </xdr:grpSpPr>
                    <xdr:sp macro="" textlink="">
                      <xdr:nvSpPr>
                        <xdr:cNvPr id="53" name="Shape 51">
                          <a:extLst>
                            <a:ext uri="{FF2B5EF4-FFF2-40B4-BE49-F238E27FC236}">
                              <a16:creationId xmlns:a16="http://schemas.microsoft.com/office/drawing/2014/main" id="{00000000-0008-0000-0000-000035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1400"/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54" name="Shape 52">
                          <a:extLst>
                            <a:ext uri="{FF2B5EF4-FFF2-40B4-BE49-F238E27FC236}">
                              <a16:creationId xmlns:a16="http://schemas.microsoft.com/office/drawing/2014/main" id="{00000000-0008-0000-0000-00003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55" name="Shape 53">
                          <a:extLst>
                            <a:ext uri="{FF2B5EF4-FFF2-40B4-BE49-F238E27FC236}">
                              <a16:creationId xmlns:a16="http://schemas.microsoft.com/office/drawing/2014/main" id="{00000000-0008-0000-0000-000037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06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56" name="Shape 54">
                          <a:extLst>
                            <a:ext uri="{FF2B5EF4-FFF2-40B4-BE49-F238E27FC236}">
                              <a16:creationId xmlns:a16="http://schemas.microsoft.com/office/drawing/2014/main" id="{00000000-0008-0000-0000-00003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22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57" name="Shape 55">
                          <a:extLst>
                            <a:ext uri="{FF2B5EF4-FFF2-40B4-BE49-F238E27FC236}">
                              <a16:creationId xmlns:a16="http://schemas.microsoft.com/office/drawing/2014/main" id="{00000000-0008-0000-0000-00003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390759"/>
                          <a:ext cx="1060098" cy="25421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58" name="Shape 56">
                          <a:extLst>
                            <a:ext uri="{FF2B5EF4-FFF2-40B4-BE49-F238E27FC236}">
                              <a16:creationId xmlns:a16="http://schemas.microsoft.com/office/drawing/2014/main" id="{00000000-0008-0000-0000-00003A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59" name="Shape 57">
                          <a:extLst>
                            <a:ext uri="{FF2B5EF4-FFF2-40B4-BE49-F238E27FC236}">
                              <a16:creationId xmlns:a16="http://schemas.microsoft.com/office/drawing/2014/main" id="{00000000-0008-0000-0000-00003B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Aprobado: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60" name="Shape 58">
                          <a:extLst>
                            <a:ext uri="{FF2B5EF4-FFF2-40B4-BE49-F238E27FC236}">
                              <a16:creationId xmlns:a16="http://schemas.microsoft.com/office/drawing/2014/main" id="{00000000-0008-0000-0000-00003C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61" name="Shape 59">
                          <a:extLst>
                            <a:ext uri="{FF2B5EF4-FFF2-40B4-BE49-F238E27FC236}">
                              <a16:creationId xmlns:a16="http://schemas.microsoft.com/office/drawing/2014/main" id="{00000000-0008-0000-0000-00003D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62" name="Shape 60">
                          <a:extLst>
                            <a:ext uri="{FF2B5EF4-FFF2-40B4-BE49-F238E27FC236}">
                              <a16:creationId xmlns:a16="http://schemas.microsoft.com/office/drawing/2014/main" id="{00000000-0008-0000-00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60794" y="5208919"/>
                          <a:ext cx="2529396" cy="925398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  <xdr:cxnSp macro="">
                    <xdr:nvCxnSpPr>
                      <xdr:cNvPr id="63" name="Shape 61">
                        <a:extLst>
                          <a:ext uri="{FF2B5EF4-FFF2-40B4-BE49-F238E27FC236}">
                            <a16:creationId xmlns:a16="http://schemas.microsoft.com/office/drawing/2014/main" id="{00000000-0008-0000-0000-00003F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</xdr:grpSp>
                <xdr:cxnSp macro="">
                  <xdr:nvCxnSpPr>
                    <xdr:cNvPr id="64" name="Shape 62">
                      <a:extLst>
                        <a:ext uri="{FF2B5EF4-FFF2-40B4-BE49-F238E27FC236}">
                          <a16:creationId xmlns:a16="http://schemas.microsoft.com/office/drawing/2014/main" id="{00000000-0008-0000-0000-000040000000}"/>
                        </a:ext>
                      </a:extLst>
                    </xdr:cNvPr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65" name="Shape 63">
                    <a:extLst>
                      <a:ext uri="{FF2B5EF4-FFF2-40B4-BE49-F238E27FC236}">
                        <a16:creationId xmlns:a16="http://schemas.microsoft.com/office/drawing/2014/main" id="{00000000-0008-0000-0000-000041000000}"/>
                      </a:ext>
                    </a:extLst>
                  </xdr:cNvPr>
                  <xdr:cNvGrpSpPr/>
                </xdr:nvGrpSpPr>
                <xdr:grpSpPr>
                  <a:xfrm>
                    <a:off x="2775153" y="12252817"/>
                    <a:ext cx="2570943" cy="916646"/>
                    <a:chOff x="0" y="5208919"/>
                    <a:chExt cx="2736792" cy="927779"/>
                  </a:xfrm>
                </xdr:grpSpPr>
                <xdr:grpSp>
                  <xdr:nvGrpSpPr>
                    <xdr:cNvPr id="66" name="Shape 64">
                      <a:extLst>
                        <a:ext uri="{FF2B5EF4-FFF2-40B4-BE49-F238E27FC236}">
                          <a16:creationId xmlns:a16="http://schemas.microsoft.com/office/drawing/2014/main" id="{00000000-0008-0000-0000-000042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5208919"/>
                      <a:ext cx="2736792" cy="925398"/>
                      <a:chOff x="0" y="5208919"/>
                      <a:chExt cx="2736792" cy="925398"/>
                    </a:xfrm>
                  </xdr:grpSpPr>
                  <xdr:grpSp>
                    <xdr:nvGrpSpPr>
                      <xdr:cNvPr id="67" name="Shape 65">
                        <a:extLst>
                          <a:ext uri="{FF2B5EF4-FFF2-40B4-BE49-F238E27FC236}">
                            <a16:creationId xmlns:a16="http://schemas.microsoft.com/office/drawing/2014/main" id="{00000000-0008-0000-0000-00004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0" y="5208919"/>
                        <a:ext cx="2736792" cy="925398"/>
                        <a:chOff x="0" y="5208919"/>
                        <a:chExt cx="2736792" cy="925398"/>
                      </a:xfrm>
                    </xdr:grpSpPr>
                    <xdr:sp macro="" textlink="">
                      <xdr:nvSpPr>
                        <xdr:cNvPr id="68" name="Shape 66">
                          <a:extLst>
                            <a:ext uri="{FF2B5EF4-FFF2-40B4-BE49-F238E27FC236}">
                              <a16:creationId xmlns:a16="http://schemas.microsoft.com/office/drawing/2014/main" id="{00000000-0008-0000-0000-000044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69" name="Shape 67">
                          <a:extLst>
                            <a:ext uri="{FF2B5EF4-FFF2-40B4-BE49-F238E27FC236}">
                              <a16:creationId xmlns:a16="http://schemas.microsoft.com/office/drawing/2014/main" id="{00000000-0008-0000-0000-000045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23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70" name="Shape 68">
                          <a:extLst>
                            <a:ext uri="{FF2B5EF4-FFF2-40B4-BE49-F238E27FC236}">
                              <a16:creationId xmlns:a16="http://schemas.microsoft.com/office/drawing/2014/main" id="{00000000-0008-0000-0000-000046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06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71" name="Shape 69">
                          <a:extLst>
                            <a:ext uri="{FF2B5EF4-FFF2-40B4-BE49-F238E27FC236}">
                              <a16:creationId xmlns:a16="http://schemas.microsoft.com/office/drawing/2014/main" id="{00000000-0008-0000-0000-000047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22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72" name="Shape 70">
                          <a:extLst>
                            <a:ext uri="{FF2B5EF4-FFF2-40B4-BE49-F238E27FC236}">
                              <a16:creationId xmlns:a16="http://schemas.microsoft.com/office/drawing/2014/main" id="{00000000-0008-0000-0000-000048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73" name="Shape 71">
                          <a:extLst>
                            <a:ext uri="{FF2B5EF4-FFF2-40B4-BE49-F238E27FC236}">
                              <a16:creationId xmlns:a16="http://schemas.microsoft.com/office/drawing/2014/main" id="{00000000-0008-0000-0000-000049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74" name="Shape 72">
                          <a:extLst>
                            <a:ext uri="{FF2B5EF4-FFF2-40B4-BE49-F238E27FC236}">
                              <a16:creationId xmlns:a16="http://schemas.microsoft.com/office/drawing/2014/main" id="{00000000-0008-0000-0000-00004A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Revisado:</a:t>
                          </a:r>
                          <a:endParaRPr sz="1400"/>
                        </a:p>
                      </xdr:txBody>
                    </xdr:sp>
                    <xdr:cxnSp macro="">
                      <xdr:nvCxnSpPr>
                        <xdr:cNvPr id="75" name="Shape 73">
                          <a:extLst>
                            <a:ext uri="{FF2B5EF4-FFF2-40B4-BE49-F238E27FC236}">
                              <a16:creationId xmlns:a16="http://schemas.microsoft.com/office/drawing/2014/main" id="{00000000-0008-0000-0000-00004B000000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</xdr:cxnSp>
                    <xdr:sp macro="" textlink="">
                      <xdr:nvSpPr>
                        <xdr:cNvPr id="76" name="Shape 74">
                          <a:extLst>
                            <a:ext uri="{FF2B5EF4-FFF2-40B4-BE49-F238E27FC236}">
                              <a16:creationId xmlns:a16="http://schemas.microsoft.com/office/drawing/2014/main" id="{00000000-0008-0000-0000-00004C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 macro="" textlink="">
                      <xdr:nvSpPr>
                        <xdr:cNvPr id="77" name="Shape 75">
                          <a:extLst>
                            <a:ext uri="{FF2B5EF4-FFF2-40B4-BE49-F238E27FC236}">
                              <a16:creationId xmlns:a16="http://schemas.microsoft.com/office/drawing/2014/main" id="{00000000-0008-0000-0000-00004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60794" y="5208919"/>
                          <a:ext cx="2529396" cy="925398"/>
                        </a:xfrm>
                        <a:prstGeom prst="roundRect">
                          <a:avLst>
                            <a:gd name="adj" fmla="val 16667"/>
                          </a:avLst>
                        </a:prstGeom>
                        <a:noFill/>
                        <a:ln w="12700" cap="flat" cmpd="sng">
                          <a:solidFill>
                            <a:schemeClr val="dk1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  <xdr:cxnSp macro="">
                    <xdr:nvCxnSpPr>
                      <xdr:cNvPr id="78" name="Shape 76">
                        <a:extLst>
                          <a:ext uri="{FF2B5EF4-FFF2-40B4-BE49-F238E27FC236}">
                            <a16:creationId xmlns:a16="http://schemas.microsoft.com/office/drawing/2014/main" id="{00000000-0008-0000-0000-00004E00000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</xdr:grpSp>
                <xdr:cxnSp macro="">
                  <xdr:nvCxnSpPr>
                    <xdr:cNvPr id="79" name="Shape 77">
                      <a:extLst>
                        <a:ext uri="{FF2B5EF4-FFF2-40B4-BE49-F238E27FC236}">
                          <a16:creationId xmlns:a16="http://schemas.microsoft.com/office/drawing/2014/main" id="{00000000-0008-0000-0000-00004F000000}"/>
                        </a:ext>
                      </a:extLst>
                    </xdr:cNvPr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285750</xdr:colOff>
      <xdr:row>23</xdr:row>
      <xdr:rowOff>66675</xdr:rowOff>
    </xdr:from>
    <xdr:ext cx="952500" cy="552450"/>
    <xdr:pic>
      <xdr:nvPicPr>
        <xdr:cNvPr id="80" name="image2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1181100</xdr:colOff>
      <xdr:row>23</xdr:row>
      <xdr:rowOff>38100</xdr:rowOff>
    </xdr:from>
    <xdr:ext cx="962025" cy="542925"/>
    <xdr:pic>
      <xdr:nvPicPr>
        <xdr:cNvPr id="81" name="image2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23</xdr:row>
      <xdr:rowOff>9525</xdr:rowOff>
    </xdr:from>
    <xdr:ext cx="809625" cy="619125"/>
    <xdr:pic>
      <xdr:nvPicPr>
        <xdr:cNvPr id="82" name="image1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350486892" name="Chart 1">
          <a:extLst>
            <a:ext uri="{FF2B5EF4-FFF2-40B4-BE49-F238E27FC236}">
              <a16:creationId xmlns:a16="http://schemas.microsoft.com/office/drawing/2014/main" id="{00000000-0008-0000-0100-00006C01E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650273237" name="Chart 2">
          <a:extLst>
            <a:ext uri="{FF2B5EF4-FFF2-40B4-BE49-F238E27FC236}">
              <a16:creationId xmlns:a16="http://schemas.microsoft.com/office/drawing/2014/main" id="{00000000-0008-0000-0100-0000D561C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1428750</xdr:colOff>
      <xdr:row>8</xdr:row>
      <xdr:rowOff>104775</xdr:rowOff>
    </xdr:from>
    <xdr:ext cx="10020300" cy="3171825"/>
    <xdr:graphicFrame macro="">
      <xdr:nvGraphicFramePr>
        <xdr:cNvPr id="229647285" name="Chart 3">
          <a:extLst>
            <a:ext uri="{FF2B5EF4-FFF2-40B4-BE49-F238E27FC236}">
              <a16:creationId xmlns:a16="http://schemas.microsoft.com/office/drawing/2014/main" id="{00000000-0008-0000-0200-0000B523B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200025</xdr:colOff>
      <xdr:row>9</xdr:row>
      <xdr:rowOff>0</xdr:rowOff>
    </xdr:from>
    <xdr:ext cx="1352550" cy="2733675"/>
    <xdr:graphicFrame macro="">
      <xdr:nvGraphicFramePr>
        <xdr:cNvPr id="1950344428" name="Chart 4">
          <a:extLst>
            <a:ext uri="{FF2B5EF4-FFF2-40B4-BE49-F238E27FC236}">
              <a16:creationId xmlns:a16="http://schemas.microsoft.com/office/drawing/2014/main" id="{00000000-0008-0000-0200-0000ECE43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1428750</xdr:colOff>
      <xdr:row>8</xdr:row>
      <xdr:rowOff>104775</xdr:rowOff>
    </xdr:from>
    <xdr:ext cx="10020300" cy="3171825"/>
    <xdr:graphicFrame macro="">
      <xdr:nvGraphicFramePr>
        <xdr:cNvPr id="348100340" name="Chart 5">
          <a:extLst>
            <a:ext uri="{FF2B5EF4-FFF2-40B4-BE49-F238E27FC236}">
              <a16:creationId xmlns:a16="http://schemas.microsoft.com/office/drawing/2014/main" id="{00000000-0008-0000-0300-0000F496B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200025</xdr:colOff>
      <xdr:row>9</xdr:row>
      <xdr:rowOff>0</xdr:rowOff>
    </xdr:from>
    <xdr:ext cx="1352550" cy="2733675"/>
    <xdr:graphicFrame macro="">
      <xdr:nvGraphicFramePr>
        <xdr:cNvPr id="1203658441" name="Chart 6">
          <a:extLst>
            <a:ext uri="{FF2B5EF4-FFF2-40B4-BE49-F238E27FC236}">
              <a16:creationId xmlns:a16="http://schemas.microsoft.com/office/drawing/2014/main" id="{00000000-0008-0000-0300-0000C95EB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013852743" name="Chart 7">
          <a:extLst>
            <a:ext uri="{FF2B5EF4-FFF2-40B4-BE49-F238E27FC236}">
              <a16:creationId xmlns:a16="http://schemas.microsoft.com/office/drawing/2014/main" id="{00000000-0008-0000-0400-0000472A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530784057" name="Chart 8">
          <a:extLst>
            <a:ext uri="{FF2B5EF4-FFF2-40B4-BE49-F238E27FC236}">
              <a16:creationId xmlns:a16="http://schemas.microsoft.com/office/drawing/2014/main" id="{00000000-0008-0000-0400-0000391FA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475313108" name="Chart 9">
          <a:extLst>
            <a:ext uri="{FF2B5EF4-FFF2-40B4-BE49-F238E27FC236}">
              <a16:creationId xmlns:a16="http://schemas.microsoft.com/office/drawing/2014/main" id="{00000000-0008-0000-0500-0000D4B35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323850</xdr:colOff>
      <xdr:row>8</xdr:row>
      <xdr:rowOff>114300</xdr:rowOff>
    </xdr:from>
    <xdr:ext cx="4572000" cy="3171825"/>
    <xdr:graphicFrame macro="">
      <xdr:nvGraphicFramePr>
        <xdr:cNvPr id="1268788909" name="Chart 10" title="Gráfico">
          <a:extLst>
            <a:ext uri="{FF2B5EF4-FFF2-40B4-BE49-F238E27FC236}">
              <a16:creationId xmlns:a16="http://schemas.microsoft.com/office/drawing/2014/main" id="{00000000-0008-0000-0500-0000AD2EA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493669677" name="Chart 11">
          <a:extLst>
            <a:ext uri="{FF2B5EF4-FFF2-40B4-BE49-F238E27FC236}">
              <a16:creationId xmlns:a16="http://schemas.microsoft.com/office/drawing/2014/main" id="{00000000-0008-0000-0500-00002DCD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493608965" name="Chart 12">
          <a:extLst>
            <a:ext uri="{FF2B5EF4-FFF2-40B4-BE49-F238E27FC236}">
              <a16:creationId xmlns:a16="http://schemas.microsoft.com/office/drawing/2014/main" id="{00000000-0008-0000-0600-000005AA0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845642644" name="Chart 13">
          <a:extLst>
            <a:ext uri="{FF2B5EF4-FFF2-40B4-BE49-F238E27FC236}">
              <a16:creationId xmlns:a16="http://schemas.microsoft.com/office/drawing/2014/main" id="{00000000-0008-0000-0600-0000947B6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12</xdr:row>
      <xdr:rowOff>114300</xdr:rowOff>
    </xdr:from>
    <xdr:ext cx="4667250" cy="3219450"/>
    <xdr:graphicFrame macro="">
      <xdr:nvGraphicFramePr>
        <xdr:cNvPr id="1826344547" name="Chart 14">
          <a:extLst>
            <a:ext uri="{FF2B5EF4-FFF2-40B4-BE49-F238E27FC236}">
              <a16:creationId xmlns:a16="http://schemas.microsoft.com/office/drawing/2014/main" id="{00000000-0008-0000-0700-000063CED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12</xdr:row>
      <xdr:rowOff>114300</xdr:rowOff>
    </xdr:from>
    <xdr:ext cx="1352550" cy="2733675"/>
    <xdr:graphicFrame macro="">
      <xdr:nvGraphicFramePr>
        <xdr:cNvPr id="706543161" name="Chart 15">
          <a:extLst>
            <a:ext uri="{FF2B5EF4-FFF2-40B4-BE49-F238E27FC236}">
              <a16:creationId xmlns:a16="http://schemas.microsoft.com/office/drawing/2014/main" id="{00000000-0008-0000-0700-000039FE1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1163842675" name="Chart 16">
          <a:extLst>
            <a:ext uri="{FF2B5EF4-FFF2-40B4-BE49-F238E27FC236}">
              <a16:creationId xmlns:a16="http://schemas.microsoft.com/office/drawing/2014/main" id="{00000000-0008-0000-0800-000073D45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738271440" name="Chart 17">
          <a:extLst>
            <a:ext uri="{FF2B5EF4-FFF2-40B4-BE49-F238E27FC236}">
              <a16:creationId xmlns:a16="http://schemas.microsoft.com/office/drawing/2014/main" id="{00000000-0008-0000-0800-0000D0200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619773015" name="Chart 18">
          <a:extLst>
            <a:ext uri="{FF2B5EF4-FFF2-40B4-BE49-F238E27FC236}">
              <a16:creationId xmlns:a16="http://schemas.microsoft.com/office/drawing/2014/main" id="{00000000-0008-0000-0900-000057FCF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1191452372" name="Chart 19">
          <a:extLst>
            <a:ext uri="{FF2B5EF4-FFF2-40B4-BE49-F238E27FC236}">
              <a16:creationId xmlns:a16="http://schemas.microsoft.com/office/drawing/2014/main" id="{00000000-0008-0000-0900-0000D41E0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8</xdr:row>
      <xdr:rowOff>114300</xdr:rowOff>
    </xdr:from>
    <xdr:ext cx="4667250" cy="3219450"/>
    <xdr:graphicFrame macro="">
      <xdr:nvGraphicFramePr>
        <xdr:cNvPr id="2" name="Chart 18">
          <a:extLst>
            <a:ext uri="{FF2B5EF4-FFF2-40B4-BE49-F238E27FC236}">
              <a16:creationId xmlns:a16="http://schemas.microsoft.com/office/drawing/2014/main" id="{8D9AA697-6B6A-4FA9-A8F1-9EA0FBA3C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8</xdr:row>
      <xdr:rowOff>114300</xdr:rowOff>
    </xdr:from>
    <xdr:ext cx="1352550" cy="2733675"/>
    <xdr:graphicFrame macro="">
      <xdr:nvGraphicFramePr>
        <xdr:cNvPr id="3" name="Chart 19">
          <a:extLst>
            <a:ext uri="{FF2B5EF4-FFF2-40B4-BE49-F238E27FC236}">
              <a16:creationId xmlns:a16="http://schemas.microsoft.com/office/drawing/2014/main" id="{E762672A-C860-452B-8F24-3F4AD766E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zoomScale="115" zoomScaleNormal="115" workbookViewId="0">
      <selection activeCell="E15" sqref="E15"/>
    </sheetView>
  </sheetViews>
  <sheetFormatPr baseColWidth="10" defaultColWidth="14.42578125" defaultRowHeight="15" customHeight="1" x14ac:dyDescent="0.25"/>
  <cols>
    <col min="1" max="1" width="4.5703125" customWidth="1"/>
    <col min="2" max="2" width="16" customWidth="1"/>
    <col min="3" max="3" width="9.5703125" customWidth="1"/>
    <col min="4" max="4" width="23.7109375" customWidth="1"/>
    <col min="5" max="5" width="30.140625" customWidth="1"/>
    <col min="6" max="6" width="24.5703125" customWidth="1"/>
    <col min="7" max="7" width="23.85546875" customWidth="1"/>
    <col min="8" max="8" width="12.28515625" customWidth="1"/>
    <col min="9" max="9" width="11.28515625" customWidth="1"/>
    <col min="10" max="10" width="12.5703125" customWidth="1"/>
    <col min="11" max="26" width="10.7109375" customWidth="1"/>
  </cols>
  <sheetData>
    <row r="1" spans="1:12" x14ac:dyDescent="0.25">
      <c r="A1" s="1"/>
      <c r="B1" s="1"/>
      <c r="C1" s="2"/>
      <c r="D1" s="1"/>
      <c r="E1" s="1"/>
      <c r="F1" s="1"/>
      <c r="G1" s="1"/>
      <c r="H1" s="1"/>
      <c r="I1" s="2"/>
      <c r="J1" s="1"/>
      <c r="K1" s="3" t="s">
        <v>0</v>
      </c>
    </row>
    <row r="2" spans="1:12" x14ac:dyDescent="0.25">
      <c r="A2" s="1"/>
      <c r="B2" s="1"/>
      <c r="C2" s="2"/>
      <c r="D2" s="1"/>
      <c r="E2" s="1"/>
      <c r="F2" s="1"/>
      <c r="G2" s="1"/>
      <c r="H2" s="1"/>
      <c r="I2" s="2"/>
      <c r="J2" s="1"/>
    </row>
    <row r="3" spans="1:12" x14ac:dyDescent="0.25">
      <c r="A3" s="1"/>
      <c r="B3" s="1"/>
      <c r="C3" s="2"/>
      <c r="D3" s="1"/>
      <c r="E3" s="1"/>
      <c r="F3" s="1"/>
      <c r="G3" s="1"/>
      <c r="H3" s="1"/>
      <c r="I3" s="2"/>
      <c r="J3" s="1"/>
    </row>
    <row r="4" spans="1:12" x14ac:dyDescent="0.25">
      <c r="A4" s="1"/>
      <c r="B4" s="1"/>
      <c r="C4" s="2"/>
      <c r="D4" s="1"/>
      <c r="E4" s="1"/>
      <c r="F4" s="1"/>
      <c r="G4" s="1"/>
      <c r="H4" s="1"/>
      <c r="I4" s="2"/>
      <c r="J4" s="1"/>
    </row>
    <row r="5" spans="1:12" x14ac:dyDescent="0.25">
      <c r="A5" s="1"/>
      <c r="B5" s="1"/>
      <c r="C5" s="2"/>
      <c r="D5" s="1"/>
      <c r="E5" s="1"/>
      <c r="F5" s="1"/>
      <c r="G5" s="1"/>
      <c r="H5" s="1"/>
      <c r="I5" s="2"/>
      <c r="J5" s="1"/>
    </row>
    <row r="6" spans="1:12" x14ac:dyDescent="0.25">
      <c r="A6" s="1"/>
      <c r="B6" s="1"/>
      <c r="C6" s="2"/>
      <c r="D6" s="1"/>
      <c r="E6" s="1"/>
      <c r="F6" s="1"/>
      <c r="G6" s="1"/>
      <c r="H6" s="1"/>
      <c r="I6" s="2"/>
      <c r="J6" s="1"/>
    </row>
    <row r="7" spans="1:12" x14ac:dyDescent="0.25">
      <c r="A7" s="1"/>
      <c r="B7" s="1"/>
      <c r="C7" s="2"/>
      <c r="D7" s="1"/>
      <c r="E7" s="1"/>
      <c r="F7" s="1"/>
      <c r="G7" s="1"/>
      <c r="H7" s="1"/>
      <c r="I7" s="2"/>
      <c r="J7" s="1"/>
    </row>
    <row r="8" spans="1:12" ht="45" x14ac:dyDescent="0.25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5" t="s">
        <v>9</v>
      </c>
      <c r="J8" s="4" t="s">
        <v>10</v>
      </c>
    </row>
    <row r="9" spans="1:12" ht="45" x14ac:dyDescent="0.25">
      <c r="A9" s="6">
        <v>1</v>
      </c>
      <c r="B9" s="70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9">
        <v>0.8</v>
      </c>
      <c r="I9" s="10" t="str">
        <f>'IND1'!I3</f>
        <v>-</v>
      </c>
      <c r="J9" s="6" t="s">
        <v>17</v>
      </c>
    </row>
    <row r="10" spans="1:12" ht="45" x14ac:dyDescent="0.25">
      <c r="A10" s="6">
        <v>2</v>
      </c>
      <c r="B10" s="71"/>
      <c r="C10" s="7" t="s">
        <v>12</v>
      </c>
      <c r="D10" s="8" t="s">
        <v>18</v>
      </c>
      <c r="E10" s="8" t="s">
        <v>19</v>
      </c>
      <c r="F10" s="8" t="s">
        <v>20</v>
      </c>
      <c r="G10" s="8" t="s">
        <v>21</v>
      </c>
      <c r="H10" s="55" t="s">
        <v>88</v>
      </c>
      <c r="I10" s="10">
        <f>'IND2'!I3</f>
        <v>1</v>
      </c>
      <c r="J10" s="6" t="s">
        <v>22</v>
      </c>
      <c r="L10" s="8"/>
    </row>
    <row r="11" spans="1:12" ht="60" x14ac:dyDescent="0.25">
      <c r="A11" s="6">
        <v>3</v>
      </c>
      <c r="B11" s="6" t="s">
        <v>23</v>
      </c>
      <c r="C11" s="7" t="s">
        <v>12</v>
      </c>
      <c r="D11" s="8" t="s">
        <v>24</v>
      </c>
      <c r="E11" s="8" t="s">
        <v>25</v>
      </c>
      <c r="F11" s="8" t="s">
        <v>26</v>
      </c>
      <c r="G11" s="8" t="s">
        <v>27</v>
      </c>
      <c r="H11" s="55" t="s">
        <v>88</v>
      </c>
      <c r="I11" s="10">
        <f>'IND3'!I3</f>
        <v>1</v>
      </c>
      <c r="J11" s="6" t="s">
        <v>17</v>
      </c>
    </row>
    <row r="12" spans="1:12" ht="75" x14ac:dyDescent="0.25">
      <c r="A12" s="6">
        <v>4</v>
      </c>
      <c r="B12" s="6" t="s">
        <v>28</v>
      </c>
      <c r="C12" s="7" t="s">
        <v>12</v>
      </c>
      <c r="D12" s="8" t="s">
        <v>29</v>
      </c>
      <c r="E12" s="8" t="s">
        <v>30</v>
      </c>
      <c r="F12" s="8" t="s">
        <v>31</v>
      </c>
      <c r="G12" s="8" t="s">
        <v>32</v>
      </c>
      <c r="H12" s="9">
        <v>0.8</v>
      </c>
      <c r="I12" s="10">
        <f>'IND4'!I3</f>
        <v>1</v>
      </c>
      <c r="J12" s="6" t="s">
        <v>17</v>
      </c>
    </row>
    <row r="13" spans="1:12" ht="60" x14ac:dyDescent="0.25">
      <c r="A13" s="6">
        <v>5</v>
      </c>
      <c r="B13" s="6" t="s">
        <v>33</v>
      </c>
      <c r="C13" s="7" t="s">
        <v>34</v>
      </c>
      <c r="D13" s="8" t="s">
        <v>35</v>
      </c>
      <c r="E13" s="8" t="s">
        <v>36</v>
      </c>
      <c r="F13" s="8" t="s">
        <v>37</v>
      </c>
      <c r="G13" s="8" t="s">
        <v>38</v>
      </c>
      <c r="H13" s="55" t="s">
        <v>88</v>
      </c>
      <c r="I13" s="10">
        <f>'IND5'!I3</f>
        <v>1</v>
      </c>
      <c r="J13" s="6" t="s">
        <v>17</v>
      </c>
    </row>
    <row r="14" spans="1:12" ht="45" x14ac:dyDescent="0.25">
      <c r="A14" s="6">
        <v>6</v>
      </c>
      <c r="B14" s="6" t="s">
        <v>39</v>
      </c>
      <c r="C14" s="7" t="s">
        <v>40</v>
      </c>
      <c r="D14" s="8" t="s">
        <v>41</v>
      </c>
      <c r="E14" s="8" t="s">
        <v>42</v>
      </c>
      <c r="F14" s="56" t="s">
        <v>43</v>
      </c>
      <c r="G14" s="56" t="s">
        <v>44</v>
      </c>
      <c r="H14" s="9">
        <v>0.7</v>
      </c>
      <c r="I14" s="10">
        <f>'IND6'!I3</f>
        <v>1</v>
      </c>
      <c r="J14" s="6" t="s">
        <v>17</v>
      </c>
    </row>
    <row r="15" spans="1:12" ht="60" x14ac:dyDescent="0.25">
      <c r="A15" s="62">
        <v>7</v>
      </c>
      <c r="B15" s="62" t="s">
        <v>39</v>
      </c>
      <c r="C15" s="62" t="s">
        <v>40</v>
      </c>
      <c r="D15" s="72" t="s">
        <v>95</v>
      </c>
      <c r="E15" s="59" t="s">
        <v>92</v>
      </c>
      <c r="F15" s="60" t="s">
        <v>96</v>
      </c>
      <c r="G15" s="60" t="s">
        <v>97</v>
      </c>
      <c r="H15" s="68">
        <v>0.7</v>
      </c>
      <c r="I15" s="65">
        <f>'IND7'!I3</f>
        <v>8.4371439525252029E-2</v>
      </c>
      <c r="J15" s="62" t="s">
        <v>17</v>
      </c>
    </row>
    <row r="16" spans="1:12" ht="45" x14ac:dyDescent="0.25">
      <c r="A16" s="63"/>
      <c r="B16" s="63"/>
      <c r="C16" s="63"/>
      <c r="D16" s="73"/>
      <c r="E16" s="59" t="s">
        <v>93</v>
      </c>
      <c r="F16" s="60" t="s">
        <v>98</v>
      </c>
      <c r="G16" s="60" t="s">
        <v>99</v>
      </c>
      <c r="H16" s="69"/>
      <c r="I16" s="66"/>
      <c r="J16" s="63"/>
    </row>
    <row r="17" spans="1:12" ht="30" x14ac:dyDescent="0.25">
      <c r="A17" s="64"/>
      <c r="B17" s="64"/>
      <c r="C17" s="64"/>
      <c r="D17" s="74"/>
      <c r="E17" s="57" t="s">
        <v>89</v>
      </c>
      <c r="F17" s="58" t="s">
        <v>90</v>
      </c>
      <c r="G17" s="58" t="s">
        <v>91</v>
      </c>
      <c r="H17" s="67"/>
      <c r="I17" s="67"/>
      <c r="J17" s="64"/>
    </row>
    <row r="18" spans="1:12" ht="45" x14ac:dyDescent="0.25">
      <c r="A18" s="6">
        <v>8</v>
      </c>
      <c r="B18" s="6" t="s">
        <v>39</v>
      </c>
      <c r="C18" s="7" t="s">
        <v>34</v>
      </c>
      <c r="D18" s="8" t="s">
        <v>46</v>
      </c>
      <c r="E18" s="8" t="s">
        <v>47</v>
      </c>
      <c r="F18" s="8" t="s">
        <v>48</v>
      </c>
      <c r="G18" s="8" t="s">
        <v>49</v>
      </c>
      <c r="H18" s="9">
        <v>0.7</v>
      </c>
      <c r="I18" s="10">
        <f>'IND8'!I3</f>
        <v>1</v>
      </c>
      <c r="J18" s="6" t="s">
        <v>22</v>
      </c>
    </row>
    <row r="19" spans="1:12" ht="75" x14ac:dyDescent="0.25">
      <c r="A19" s="6">
        <v>9</v>
      </c>
      <c r="B19" s="6" t="s">
        <v>50</v>
      </c>
      <c r="C19" s="7" t="s">
        <v>34</v>
      </c>
      <c r="D19" s="8" t="s">
        <v>51</v>
      </c>
      <c r="E19" s="8" t="s">
        <v>52</v>
      </c>
      <c r="F19" s="8" t="s">
        <v>53</v>
      </c>
      <c r="G19" s="8" t="s">
        <v>54</v>
      </c>
      <c r="H19" s="9">
        <v>0.7</v>
      </c>
      <c r="I19" s="10" t="s">
        <v>55</v>
      </c>
      <c r="J19" s="6" t="s">
        <v>22</v>
      </c>
    </row>
    <row r="20" spans="1:12" ht="45" x14ac:dyDescent="0.25">
      <c r="A20" s="6">
        <v>10</v>
      </c>
      <c r="B20" s="6" t="s">
        <v>82</v>
      </c>
      <c r="C20" s="7" t="s">
        <v>12</v>
      </c>
      <c r="D20" s="8" t="s">
        <v>86</v>
      </c>
      <c r="E20" s="54" t="s">
        <v>87</v>
      </c>
      <c r="F20" s="8" t="s">
        <v>83</v>
      </c>
      <c r="G20" s="8" t="s">
        <v>85</v>
      </c>
      <c r="H20" s="55" t="s">
        <v>88</v>
      </c>
      <c r="I20" s="10">
        <f>'IND10'!I3</f>
        <v>1</v>
      </c>
      <c r="J20" s="6" t="s">
        <v>17</v>
      </c>
      <c r="L20" s="53"/>
    </row>
    <row r="21" spans="1:12" ht="15.75" customHeight="1" x14ac:dyDescent="0.25">
      <c r="A21" s="1"/>
      <c r="B21" s="1"/>
      <c r="C21" s="2"/>
      <c r="D21" s="1"/>
      <c r="E21" s="1"/>
      <c r="F21" s="1"/>
      <c r="G21" s="1"/>
      <c r="H21" s="1"/>
      <c r="I21" s="2"/>
      <c r="J21" s="1"/>
    </row>
    <row r="22" spans="1:12" ht="15.75" customHeight="1" x14ac:dyDescent="0.25">
      <c r="A22" s="1"/>
      <c r="B22" s="1"/>
      <c r="C22" s="2"/>
      <c r="D22" s="1"/>
      <c r="E22" s="1"/>
      <c r="F22" s="1"/>
      <c r="G22" s="1"/>
      <c r="H22" s="1"/>
      <c r="I22" s="2"/>
      <c r="J22" s="1"/>
    </row>
    <row r="23" spans="1:12" ht="15.75" customHeight="1" x14ac:dyDescent="0.25">
      <c r="A23" s="1"/>
      <c r="B23" s="1"/>
      <c r="C23" s="2"/>
      <c r="D23" s="1"/>
      <c r="E23" s="1"/>
      <c r="F23" s="1"/>
      <c r="G23" s="1"/>
      <c r="H23" s="1"/>
      <c r="I23" s="2"/>
      <c r="J23" s="1"/>
    </row>
    <row r="24" spans="1:12" ht="15.75" customHeight="1" x14ac:dyDescent="0.25">
      <c r="A24" s="1"/>
      <c r="B24" s="1"/>
      <c r="C24" s="2"/>
      <c r="D24" s="1"/>
      <c r="E24" s="1"/>
      <c r="F24" s="1"/>
      <c r="G24" s="1"/>
      <c r="H24" s="1"/>
      <c r="I24" s="2"/>
      <c r="J24" s="1"/>
    </row>
    <row r="25" spans="1:12" ht="15.75" customHeight="1" x14ac:dyDescent="0.25">
      <c r="A25" s="1"/>
      <c r="B25" s="1"/>
      <c r="C25" s="2"/>
      <c r="D25" s="1"/>
      <c r="E25" s="1"/>
      <c r="F25" s="1"/>
      <c r="G25" s="1"/>
      <c r="H25" s="1"/>
      <c r="I25" s="2"/>
      <c r="J25" s="1"/>
    </row>
    <row r="26" spans="1:12" ht="15.75" customHeight="1" x14ac:dyDescent="0.25">
      <c r="A26" s="1"/>
      <c r="B26" s="1"/>
      <c r="C26" s="2"/>
      <c r="D26" s="1"/>
      <c r="E26" s="1"/>
      <c r="F26" s="1"/>
      <c r="G26" s="1"/>
      <c r="H26" s="1"/>
      <c r="I26" s="2"/>
      <c r="J26" s="1"/>
    </row>
    <row r="27" spans="1:12" ht="15.75" customHeight="1" x14ac:dyDescent="0.25">
      <c r="A27" s="1"/>
      <c r="B27" s="1"/>
      <c r="C27" s="2"/>
      <c r="D27" s="1"/>
      <c r="E27" s="1"/>
      <c r="F27" s="1"/>
      <c r="G27" s="1"/>
      <c r="H27" s="1"/>
      <c r="I27" s="2"/>
      <c r="J27" s="1"/>
    </row>
    <row r="28" spans="1:12" ht="15.75" customHeight="1" x14ac:dyDescent="0.25">
      <c r="A28" s="1"/>
      <c r="B28" s="1"/>
      <c r="C28" s="2"/>
      <c r="D28" s="1"/>
      <c r="E28" s="1"/>
      <c r="F28" s="1"/>
      <c r="G28" s="1"/>
      <c r="H28" s="1"/>
      <c r="I28" s="2"/>
      <c r="J28" s="1"/>
    </row>
    <row r="29" spans="1:12" ht="15.75" customHeight="1" x14ac:dyDescent="0.25">
      <c r="A29" s="1"/>
      <c r="B29" s="1"/>
      <c r="C29" s="2"/>
      <c r="D29" s="1"/>
      <c r="E29" s="1"/>
      <c r="F29" s="1"/>
      <c r="G29" s="1"/>
      <c r="H29" s="1"/>
      <c r="I29" s="2"/>
      <c r="J29" s="1"/>
    </row>
    <row r="30" spans="1:12" ht="15.75" customHeight="1" x14ac:dyDescent="0.25">
      <c r="A30" s="1"/>
      <c r="B30" s="1"/>
      <c r="C30" s="2"/>
      <c r="D30" s="1"/>
      <c r="E30" s="1"/>
      <c r="F30" s="1"/>
      <c r="G30" s="1"/>
      <c r="H30" s="1"/>
      <c r="I30" s="2"/>
      <c r="J30" s="1"/>
    </row>
    <row r="31" spans="1:12" ht="15.75" customHeight="1" x14ac:dyDescent="0.25">
      <c r="A31" s="1"/>
      <c r="B31" s="1"/>
      <c r="C31" s="2"/>
      <c r="D31" s="1"/>
      <c r="E31" s="1"/>
      <c r="F31" s="1"/>
      <c r="G31" s="1"/>
      <c r="H31" s="1"/>
      <c r="I31" s="2"/>
      <c r="J31" s="1"/>
    </row>
    <row r="32" spans="1:12" ht="15.75" customHeight="1" x14ac:dyDescent="0.25">
      <c r="A32" s="1"/>
      <c r="B32" s="1"/>
      <c r="C32" s="2"/>
      <c r="D32" s="1"/>
      <c r="E32" s="1"/>
      <c r="F32" s="1"/>
      <c r="G32" s="1"/>
      <c r="H32" s="1"/>
      <c r="I32" s="2"/>
      <c r="J32" s="1"/>
    </row>
    <row r="33" spans="1:10" ht="15.75" customHeight="1" x14ac:dyDescent="0.25">
      <c r="A33" s="1"/>
      <c r="B33" s="1"/>
      <c r="C33" s="2"/>
      <c r="D33" s="1"/>
      <c r="E33" s="1"/>
      <c r="F33" s="1"/>
      <c r="G33" s="1"/>
      <c r="H33" s="1"/>
      <c r="I33" s="2"/>
      <c r="J33" s="1"/>
    </row>
    <row r="34" spans="1:10" ht="15.75" customHeight="1" x14ac:dyDescent="0.25">
      <c r="A34" s="1"/>
      <c r="B34" s="1"/>
      <c r="C34" s="2"/>
      <c r="D34" s="1"/>
      <c r="E34" s="1"/>
      <c r="F34" s="1"/>
      <c r="G34" s="1"/>
      <c r="H34" s="1"/>
      <c r="I34" s="2"/>
      <c r="J34" s="1"/>
    </row>
    <row r="35" spans="1:10" ht="15.75" customHeight="1" x14ac:dyDescent="0.25">
      <c r="A35" s="1"/>
      <c r="B35" s="1"/>
      <c r="C35" s="2"/>
      <c r="D35" s="1"/>
      <c r="E35" s="1"/>
      <c r="F35" s="1"/>
      <c r="G35" s="1"/>
      <c r="H35" s="1"/>
      <c r="I35" s="2"/>
      <c r="J35" s="1"/>
    </row>
    <row r="36" spans="1:10" ht="15.75" customHeight="1" x14ac:dyDescent="0.25">
      <c r="A36" s="1"/>
      <c r="B36" s="1"/>
      <c r="C36" s="2"/>
      <c r="D36" s="1"/>
      <c r="E36" s="1"/>
      <c r="F36" s="1"/>
      <c r="G36" s="1"/>
      <c r="H36" s="1"/>
      <c r="I36" s="2"/>
      <c r="J36" s="1"/>
    </row>
    <row r="37" spans="1:10" ht="15.75" customHeight="1" x14ac:dyDescent="0.25">
      <c r="A37" s="1"/>
      <c r="B37" s="1"/>
      <c r="C37" s="2"/>
      <c r="D37" s="1"/>
      <c r="E37" s="1"/>
      <c r="F37" s="1"/>
      <c r="G37" s="1"/>
      <c r="H37" s="1"/>
      <c r="I37" s="2"/>
      <c r="J37" s="1"/>
    </row>
    <row r="38" spans="1:10" ht="15.75" customHeight="1" x14ac:dyDescent="0.25">
      <c r="A38" s="1"/>
      <c r="B38" s="1"/>
      <c r="C38" s="2"/>
      <c r="D38" s="1"/>
      <c r="E38" s="1"/>
      <c r="F38" s="1"/>
      <c r="G38" s="1"/>
      <c r="H38" s="1"/>
      <c r="I38" s="2"/>
      <c r="J38" s="1"/>
    </row>
    <row r="39" spans="1:10" ht="15.75" customHeight="1" x14ac:dyDescent="0.25">
      <c r="A39" s="1"/>
      <c r="B39" s="1"/>
      <c r="C39" s="2"/>
      <c r="D39" s="1"/>
      <c r="E39" s="1"/>
      <c r="F39" s="1"/>
      <c r="G39" s="1"/>
      <c r="H39" s="1"/>
      <c r="I39" s="2"/>
      <c r="J39" s="1"/>
    </row>
    <row r="40" spans="1:10" ht="15.75" customHeight="1" x14ac:dyDescent="0.25">
      <c r="A40" s="1"/>
      <c r="B40" s="1"/>
      <c r="C40" s="2"/>
      <c r="D40" s="1"/>
      <c r="E40" s="1"/>
      <c r="F40" s="1"/>
      <c r="G40" s="1"/>
      <c r="H40" s="1"/>
      <c r="I40" s="2"/>
      <c r="J40" s="1"/>
    </row>
    <row r="41" spans="1:10" ht="15.75" customHeight="1" x14ac:dyDescent="0.25">
      <c r="A41" s="1"/>
      <c r="B41" s="1"/>
      <c r="C41" s="2"/>
      <c r="D41" s="1"/>
      <c r="E41" s="1"/>
      <c r="F41" s="1"/>
      <c r="G41" s="1"/>
      <c r="H41" s="1"/>
      <c r="I41" s="2"/>
      <c r="J41" s="1"/>
    </row>
    <row r="42" spans="1:10" ht="15.75" customHeight="1" x14ac:dyDescent="0.25">
      <c r="A42" s="1"/>
      <c r="B42" s="1"/>
      <c r="C42" s="2"/>
      <c r="D42" s="1"/>
      <c r="E42" s="1"/>
      <c r="F42" s="1"/>
      <c r="G42" s="1"/>
      <c r="H42" s="1"/>
      <c r="I42" s="2"/>
      <c r="J42" s="1"/>
    </row>
    <row r="43" spans="1:10" ht="15.75" customHeight="1" x14ac:dyDescent="0.25">
      <c r="A43" s="1"/>
      <c r="B43" s="1"/>
      <c r="C43" s="2"/>
      <c r="D43" s="1"/>
      <c r="E43" s="1"/>
      <c r="F43" s="1"/>
      <c r="G43" s="1"/>
      <c r="H43" s="1"/>
      <c r="I43" s="2"/>
      <c r="J43" s="1"/>
    </row>
    <row r="44" spans="1:10" ht="15.75" customHeight="1" x14ac:dyDescent="0.25">
      <c r="A44" s="1"/>
      <c r="B44" s="1"/>
      <c r="C44" s="2"/>
      <c r="D44" s="1"/>
      <c r="E44" s="1"/>
      <c r="F44" s="1"/>
      <c r="G44" s="1"/>
      <c r="H44" s="1"/>
      <c r="I44" s="2"/>
      <c r="J44" s="1"/>
    </row>
    <row r="45" spans="1:10" ht="15.75" customHeight="1" x14ac:dyDescent="0.25">
      <c r="C45" s="11"/>
      <c r="I45" s="11"/>
    </row>
    <row r="46" spans="1:10" ht="15.75" customHeight="1" x14ac:dyDescent="0.25">
      <c r="C46" s="11"/>
      <c r="I46" s="11"/>
    </row>
    <row r="47" spans="1:10" ht="15.75" customHeight="1" x14ac:dyDescent="0.25">
      <c r="C47" s="11"/>
      <c r="I47" s="11"/>
    </row>
    <row r="48" spans="1:10" ht="15.75" customHeight="1" x14ac:dyDescent="0.25">
      <c r="C48" s="11"/>
      <c r="I48" s="11"/>
    </row>
    <row r="49" spans="3:9" ht="15.75" customHeight="1" x14ac:dyDescent="0.25">
      <c r="C49" s="11"/>
      <c r="I49" s="11"/>
    </row>
    <row r="50" spans="3:9" ht="15.75" customHeight="1" x14ac:dyDescent="0.25">
      <c r="C50" s="11"/>
      <c r="I50" s="11"/>
    </row>
    <row r="51" spans="3:9" ht="15.75" customHeight="1" x14ac:dyDescent="0.25">
      <c r="C51" s="11"/>
      <c r="I51" s="11"/>
    </row>
    <row r="52" spans="3:9" ht="15.75" customHeight="1" x14ac:dyDescent="0.25">
      <c r="C52" s="11"/>
      <c r="I52" s="11"/>
    </row>
    <row r="53" spans="3:9" ht="15.75" customHeight="1" x14ac:dyDescent="0.25">
      <c r="C53" s="11"/>
      <c r="I53" s="11"/>
    </row>
    <row r="54" spans="3:9" ht="15.75" customHeight="1" x14ac:dyDescent="0.25">
      <c r="C54" s="11"/>
      <c r="I54" s="11"/>
    </row>
    <row r="55" spans="3:9" ht="15.75" customHeight="1" x14ac:dyDescent="0.25">
      <c r="C55" s="11"/>
      <c r="I55" s="11"/>
    </row>
    <row r="56" spans="3:9" ht="15.75" customHeight="1" x14ac:dyDescent="0.25">
      <c r="C56" s="11"/>
      <c r="I56" s="11"/>
    </row>
    <row r="57" spans="3:9" ht="15.75" customHeight="1" x14ac:dyDescent="0.25">
      <c r="C57" s="11"/>
      <c r="I57" s="11"/>
    </row>
    <row r="58" spans="3:9" ht="15.75" customHeight="1" x14ac:dyDescent="0.25">
      <c r="C58" s="11"/>
      <c r="I58" s="11"/>
    </row>
    <row r="59" spans="3:9" ht="15.75" customHeight="1" x14ac:dyDescent="0.25">
      <c r="C59" s="11"/>
      <c r="I59" s="11"/>
    </row>
    <row r="60" spans="3:9" ht="15.75" customHeight="1" x14ac:dyDescent="0.25">
      <c r="C60" s="11"/>
      <c r="I60" s="11"/>
    </row>
    <row r="61" spans="3:9" ht="15.75" customHeight="1" x14ac:dyDescent="0.25">
      <c r="C61" s="11"/>
      <c r="I61" s="11"/>
    </row>
    <row r="62" spans="3:9" ht="15.75" customHeight="1" x14ac:dyDescent="0.25">
      <c r="C62" s="11"/>
      <c r="I62" s="11"/>
    </row>
    <row r="63" spans="3:9" ht="15.75" customHeight="1" x14ac:dyDescent="0.25">
      <c r="C63" s="11"/>
      <c r="I63" s="11"/>
    </row>
    <row r="64" spans="3:9" ht="15.75" customHeight="1" x14ac:dyDescent="0.25">
      <c r="C64" s="11"/>
      <c r="I64" s="11"/>
    </row>
    <row r="65" spans="3:9" ht="15.75" customHeight="1" x14ac:dyDescent="0.25">
      <c r="C65" s="11"/>
      <c r="I65" s="11"/>
    </row>
    <row r="66" spans="3:9" ht="15.75" customHeight="1" x14ac:dyDescent="0.25">
      <c r="C66" s="11"/>
      <c r="I66" s="11"/>
    </row>
    <row r="67" spans="3:9" ht="15.75" customHeight="1" x14ac:dyDescent="0.25">
      <c r="C67" s="11"/>
      <c r="I67" s="11"/>
    </row>
    <row r="68" spans="3:9" ht="15.75" customHeight="1" x14ac:dyDescent="0.25">
      <c r="C68" s="11"/>
      <c r="I68" s="11"/>
    </row>
    <row r="69" spans="3:9" ht="15.75" customHeight="1" x14ac:dyDescent="0.25">
      <c r="C69" s="11"/>
      <c r="I69" s="11"/>
    </row>
    <row r="70" spans="3:9" ht="15.75" customHeight="1" x14ac:dyDescent="0.25">
      <c r="C70" s="11"/>
      <c r="I70" s="11"/>
    </row>
    <row r="71" spans="3:9" ht="15.75" customHeight="1" x14ac:dyDescent="0.25">
      <c r="C71" s="11"/>
      <c r="I71" s="11"/>
    </row>
    <row r="72" spans="3:9" ht="15.75" customHeight="1" x14ac:dyDescent="0.25">
      <c r="C72" s="11"/>
      <c r="I72" s="11"/>
    </row>
    <row r="73" spans="3:9" ht="15.75" customHeight="1" x14ac:dyDescent="0.25">
      <c r="C73" s="11"/>
      <c r="I73" s="11"/>
    </row>
    <row r="74" spans="3:9" ht="15.75" customHeight="1" x14ac:dyDescent="0.25">
      <c r="C74" s="11"/>
      <c r="I74" s="11"/>
    </row>
    <row r="75" spans="3:9" ht="15.75" customHeight="1" x14ac:dyDescent="0.25">
      <c r="C75" s="11"/>
      <c r="I75" s="11"/>
    </row>
    <row r="76" spans="3:9" ht="15.75" customHeight="1" x14ac:dyDescent="0.25">
      <c r="C76" s="11"/>
      <c r="I76" s="11"/>
    </row>
    <row r="77" spans="3:9" ht="15.75" customHeight="1" x14ac:dyDescent="0.25">
      <c r="C77" s="11"/>
      <c r="I77" s="11"/>
    </row>
    <row r="78" spans="3:9" ht="15.75" customHeight="1" x14ac:dyDescent="0.25">
      <c r="C78" s="11"/>
      <c r="I78" s="11"/>
    </row>
    <row r="79" spans="3:9" ht="15.75" customHeight="1" x14ac:dyDescent="0.25">
      <c r="C79" s="11"/>
      <c r="I79" s="11"/>
    </row>
    <row r="80" spans="3:9" ht="15.75" customHeight="1" x14ac:dyDescent="0.25">
      <c r="C80" s="11"/>
      <c r="I80" s="11"/>
    </row>
    <row r="81" spans="3:9" ht="15.75" customHeight="1" x14ac:dyDescent="0.25">
      <c r="C81" s="11"/>
      <c r="I81" s="11"/>
    </row>
    <row r="82" spans="3:9" ht="15.75" customHeight="1" x14ac:dyDescent="0.25">
      <c r="C82" s="11"/>
      <c r="I82" s="11"/>
    </row>
    <row r="83" spans="3:9" ht="15.75" customHeight="1" x14ac:dyDescent="0.25">
      <c r="C83" s="11"/>
      <c r="I83" s="11"/>
    </row>
    <row r="84" spans="3:9" ht="15.75" customHeight="1" x14ac:dyDescent="0.25">
      <c r="C84" s="11"/>
      <c r="I84" s="11"/>
    </row>
    <row r="85" spans="3:9" ht="15.75" customHeight="1" x14ac:dyDescent="0.25">
      <c r="C85" s="11"/>
      <c r="I85" s="11"/>
    </row>
    <row r="86" spans="3:9" ht="15.75" customHeight="1" x14ac:dyDescent="0.25">
      <c r="C86" s="11"/>
      <c r="I86" s="11"/>
    </row>
    <row r="87" spans="3:9" ht="15.75" customHeight="1" x14ac:dyDescent="0.25">
      <c r="C87" s="11"/>
      <c r="I87" s="11"/>
    </row>
    <row r="88" spans="3:9" ht="15.75" customHeight="1" x14ac:dyDescent="0.25">
      <c r="C88" s="11"/>
      <c r="I88" s="11"/>
    </row>
    <row r="89" spans="3:9" ht="15.75" customHeight="1" x14ac:dyDescent="0.25">
      <c r="C89" s="11"/>
      <c r="I89" s="11"/>
    </row>
    <row r="90" spans="3:9" ht="15.75" customHeight="1" x14ac:dyDescent="0.25">
      <c r="C90" s="11"/>
      <c r="I90" s="11"/>
    </row>
    <row r="91" spans="3:9" ht="15.75" customHeight="1" x14ac:dyDescent="0.25">
      <c r="C91" s="11"/>
      <c r="I91" s="11"/>
    </row>
    <row r="92" spans="3:9" ht="15.75" customHeight="1" x14ac:dyDescent="0.25">
      <c r="C92" s="11"/>
      <c r="I92" s="11"/>
    </row>
    <row r="93" spans="3:9" ht="15.75" customHeight="1" x14ac:dyDescent="0.25">
      <c r="C93" s="11"/>
      <c r="I93" s="11"/>
    </row>
    <row r="94" spans="3:9" ht="15.75" customHeight="1" x14ac:dyDescent="0.25">
      <c r="C94" s="11"/>
      <c r="I94" s="11"/>
    </row>
    <row r="95" spans="3:9" ht="15.75" customHeight="1" x14ac:dyDescent="0.25">
      <c r="C95" s="11"/>
      <c r="I95" s="11"/>
    </row>
    <row r="96" spans="3:9" ht="15.75" customHeight="1" x14ac:dyDescent="0.25">
      <c r="C96" s="11"/>
      <c r="I96" s="11"/>
    </row>
    <row r="97" spans="3:9" ht="15.75" customHeight="1" x14ac:dyDescent="0.25">
      <c r="C97" s="11"/>
      <c r="I97" s="11"/>
    </row>
    <row r="98" spans="3:9" ht="15.75" customHeight="1" x14ac:dyDescent="0.25">
      <c r="C98" s="11"/>
      <c r="I98" s="11"/>
    </row>
    <row r="99" spans="3:9" ht="15.75" customHeight="1" x14ac:dyDescent="0.25">
      <c r="C99" s="11"/>
      <c r="I99" s="11"/>
    </row>
    <row r="100" spans="3:9" ht="15.75" customHeight="1" x14ac:dyDescent="0.25">
      <c r="C100" s="11"/>
      <c r="I100" s="11"/>
    </row>
    <row r="101" spans="3:9" ht="15.75" customHeight="1" x14ac:dyDescent="0.25">
      <c r="C101" s="11"/>
      <c r="I101" s="11"/>
    </row>
    <row r="102" spans="3:9" ht="15.75" customHeight="1" x14ac:dyDescent="0.25">
      <c r="C102" s="11"/>
      <c r="I102" s="11"/>
    </row>
    <row r="103" spans="3:9" ht="15.75" customHeight="1" x14ac:dyDescent="0.25">
      <c r="C103" s="11"/>
      <c r="I103" s="11"/>
    </row>
    <row r="104" spans="3:9" ht="15.75" customHeight="1" x14ac:dyDescent="0.25">
      <c r="C104" s="11"/>
      <c r="I104" s="11"/>
    </row>
    <row r="105" spans="3:9" ht="15.75" customHeight="1" x14ac:dyDescent="0.25">
      <c r="C105" s="11"/>
      <c r="I105" s="11"/>
    </row>
    <row r="106" spans="3:9" ht="15.75" customHeight="1" x14ac:dyDescent="0.25">
      <c r="C106" s="11"/>
      <c r="I106" s="11"/>
    </row>
    <row r="107" spans="3:9" ht="15.75" customHeight="1" x14ac:dyDescent="0.25">
      <c r="C107" s="11"/>
      <c r="I107" s="11"/>
    </row>
    <row r="108" spans="3:9" ht="15.75" customHeight="1" x14ac:dyDescent="0.25">
      <c r="C108" s="11"/>
      <c r="I108" s="11"/>
    </row>
    <row r="109" spans="3:9" ht="15.75" customHeight="1" x14ac:dyDescent="0.25">
      <c r="C109" s="11"/>
      <c r="I109" s="11"/>
    </row>
    <row r="110" spans="3:9" ht="15.75" customHeight="1" x14ac:dyDescent="0.25">
      <c r="C110" s="11"/>
      <c r="I110" s="11"/>
    </row>
    <row r="111" spans="3:9" ht="15.75" customHeight="1" x14ac:dyDescent="0.25">
      <c r="C111" s="11"/>
      <c r="I111" s="11"/>
    </row>
    <row r="112" spans="3:9" ht="15.75" customHeight="1" x14ac:dyDescent="0.25">
      <c r="C112" s="11"/>
      <c r="I112" s="11"/>
    </row>
    <row r="113" spans="3:9" ht="15.75" customHeight="1" x14ac:dyDescent="0.25">
      <c r="C113" s="11"/>
      <c r="I113" s="11"/>
    </row>
    <row r="114" spans="3:9" ht="15.75" customHeight="1" x14ac:dyDescent="0.25">
      <c r="C114" s="11"/>
      <c r="I114" s="11"/>
    </row>
    <row r="115" spans="3:9" ht="15.75" customHeight="1" x14ac:dyDescent="0.25">
      <c r="C115" s="11"/>
      <c r="I115" s="11"/>
    </row>
    <row r="116" spans="3:9" ht="15.75" customHeight="1" x14ac:dyDescent="0.25">
      <c r="C116" s="11"/>
      <c r="I116" s="11"/>
    </row>
    <row r="117" spans="3:9" ht="15.75" customHeight="1" x14ac:dyDescent="0.25">
      <c r="C117" s="11"/>
      <c r="I117" s="11"/>
    </row>
    <row r="118" spans="3:9" ht="15.75" customHeight="1" x14ac:dyDescent="0.25">
      <c r="C118" s="11"/>
      <c r="I118" s="11"/>
    </row>
    <row r="119" spans="3:9" ht="15.75" customHeight="1" x14ac:dyDescent="0.25">
      <c r="C119" s="11"/>
      <c r="I119" s="11"/>
    </row>
    <row r="120" spans="3:9" ht="15.75" customHeight="1" x14ac:dyDescent="0.25">
      <c r="C120" s="11"/>
      <c r="I120" s="11"/>
    </row>
    <row r="121" spans="3:9" ht="15.75" customHeight="1" x14ac:dyDescent="0.25">
      <c r="C121" s="11"/>
      <c r="I121" s="11"/>
    </row>
    <row r="122" spans="3:9" ht="15.75" customHeight="1" x14ac:dyDescent="0.25">
      <c r="C122" s="11"/>
      <c r="I122" s="11"/>
    </row>
    <row r="123" spans="3:9" ht="15.75" customHeight="1" x14ac:dyDescent="0.25">
      <c r="C123" s="11"/>
      <c r="I123" s="11"/>
    </row>
    <row r="124" spans="3:9" ht="15.75" customHeight="1" x14ac:dyDescent="0.25">
      <c r="C124" s="11"/>
      <c r="I124" s="11"/>
    </row>
    <row r="125" spans="3:9" ht="15.75" customHeight="1" x14ac:dyDescent="0.25">
      <c r="C125" s="11"/>
      <c r="I125" s="11"/>
    </row>
    <row r="126" spans="3:9" ht="15.75" customHeight="1" x14ac:dyDescent="0.25">
      <c r="C126" s="11"/>
      <c r="I126" s="11"/>
    </row>
    <row r="127" spans="3:9" ht="15.75" customHeight="1" x14ac:dyDescent="0.25">
      <c r="C127" s="11"/>
      <c r="I127" s="11"/>
    </row>
    <row r="128" spans="3:9" ht="15.75" customHeight="1" x14ac:dyDescent="0.25">
      <c r="C128" s="11"/>
      <c r="I128" s="11"/>
    </row>
    <row r="129" spans="3:9" ht="15.75" customHeight="1" x14ac:dyDescent="0.25">
      <c r="C129" s="11"/>
      <c r="I129" s="11"/>
    </row>
    <row r="130" spans="3:9" ht="15.75" customHeight="1" x14ac:dyDescent="0.25">
      <c r="C130" s="11"/>
      <c r="I130" s="11"/>
    </row>
    <row r="131" spans="3:9" ht="15.75" customHeight="1" x14ac:dyDescent="0.25">
      <c r="C131" s="11"/>
      <c r="I131" s="11"/>
    </row>
    <row r="132" spans="3:9" ht="15.75" customHeight="1" x14ac:dyDescent="0.25">
      <c r="C132" s="11"/>
      <c r="I132" s="11"/>
    </row>
    <row r="133" spans="3:9" ht="15.75" customHeight="1" x14ac:dyDescent="0.25">
      <c r="C133" s="11"/>
      <c r="I133" s="11"/>
    </row>
    <row r="134" spans="3:9" ht="15.75" customHeight="1" x14ac:dyDescent="0.25">
      <c r="C134" s="11"/>
      <c r="I134" s="11"/>
    </row>
    <row r="135" spans="3:9" ht="15.75" customHeight="1" x14ac:dyDescent="0.25">
      <c r="C135" s="11"/>
      <c r="I135" s="11"/>
    </row>
    <row r="136" spans="3:9" ht="15.75" customHeight="1" x14ac:dyDescent="0.25">
      <c r="C136" s="11"/>
      <c r="I136" s="11"/>
    </row>
    <row r="137" spans="3:9" ht="15.75" customHeight="1" x14ac:dyDescent="0.25">
      <c r="C137" s="11"/>
      <c r="I137" s="11"/>
    </row>
    <row r="138" spans="3:9" ht="15.75" customHeight="1" x14ac:dyDescent="0.25">
      <c r="C138" s="11"/>
      <c r="I138" s="11"/>
    </row>
    <row r="139" spans="3:9" ht="15.75" customHeight="1" x14ac:dyDescent="0.25">
      <c r="C139" s="11"/>
      <c r="I139" s="11"/>
    </row>
    <row r="140" spans="3:9" ht="15.75" customHeight="1" x14ac:dyDescent="0.25">
      <c r="C140" s="11"/>
      <c r="I140" s="11"/>
    </row>
    <row r="141" spans="3:9" ht="15.75" customHeight="1" x14ac:dyDescent="0.25">
      <c r="C141" s="11"/>
      <c r="I141" s="11"/>
    </row>
    <row r="142" spans="3:9" ht="15.75" customHeight="1" x14ac:dyDescent="0.25">
      <c r="C142" s="11"/>
      <c r="I142" s="11"/>
    </row>
    <row r="143" spans="3:9" ht="15.75" customHeight="1" x14ac:dyDescent="0.25">
      <c r="C143" s="11"/>
      <c r="I143" s="11"/>
    </row>
    <row r="144" spans="3:9" ht="15.75" customHeight="1" x14ac:dyDescent="0.25">
      <c r="C144" s="11"/>
      <c r="I144" s="11"/>
    </row>
    <row r="145" spans="3:9" ht="15.75" customHeight="1" x14ac:dyDescent="0.25">
      <c r="C145" s="11"/>
      <c r="I145" s="11"/>
    </row>
    <row r="146" spans="3:9" ht="15.75" customHeight="1" x14ac:dyDescent="0.25">
      <c r="C146" s="11"/>
      <c r="I146" s="11"/>
    </row>
    <row r="147" spans="3:9" ht="15.75" customHeight="1" x14ac:dyDescent="0.25">
      <c r="C147" s="11"/>
      <c r="I147" s="11"/>
    </row>
    <row r="148" spans="3:9" ht="15.75" customHeight="1" x14ac:dyDescent="0.25">
      <c r="C148" s="11"/>
      <c r="I148" s="11"/>
    </row>
    <row r="149" spans="3:9" ht="15.75" customHeight="1" x14ac:dyDescent="0.25">
      <c r="C149" s="11"/>
      <c r="I149" s="11"/>
    </row>
    <row r="150" spans="3:9" ht="15.75" customHeight="1" x14ac:dyDescent="0.25">
      <c r="C150" s="11"/>
      <c r="I150" s="11"/>
    </row>
    <row r="151" spans="3:9" ht="15.75" customHeight="1" x14ac:dyDescent="0.25">
      <c r="C151" s="11"/>
      <c r="I151" s="11"/>
    </row>
    <row r="152" spans="3:9" ht="15.75" customHeight="1" x14ac:dyDescent="0.25">
      <c r="C152" s="11"/>
      <c r="I152" s="11"/>
    </row>
    <row r="153" spans="3:9" ht="15.75" customHeight="1" x14ac:dyDescent="0.25">
      <c r="C153" s="11"/>
      <c r="I153" s="11"/>
    </row>
    <row r="154" spans="3:9" ht="15.75" customHeight="1" x14ac:dyDescent="0.25">
      <c r="C154" s="11"/>
      <c r="I154" s="11"/>
    </row>
    <row r="155" spans="3:9" ht="15.75" customHeight="1" x14ac:dyDescent="0.25">
      <c r="C155" s="11"/>
      <c r="I155" s="11"/>
    </row>
    <row r="156" spans="3:9" ht="15.75" customHeight="1" x14ac:dyDescent="0.25">
      <c r="C156" s="11"/>
      <c r="I156" s="11"/>
    </row>
    <row r="157" spans="3:9" ht="15.75" customHeight="1" x14ac:dyDescent="0.25">
      <c r="C157" s="11"/>
      <c r="I157" s="11"/>
    </row>
    <row r="158" spans="3:9" ht="15.75" customHeight="1" x14ac:dyDescent="0.25">
      <c r="C158" s="11"/>
      <c r="I158" s="11"/>
    </row>
    <row r="159" spans="3:9" ht="15.75" customHeight="1" x14ac:dyDescent="0.25">
      <c r="C159" s="11"/>
      <c r="I159" s="11"/>
    </row>
    <row r="160" spans="3:9" ht="15.75" customHeight="1" x14ac:dyDescent="0.25">
      <c r="C160" s="11"/>
      <c r="I160" s="11"/>
    </row>
    <row r="161" spans="3:9" ht="15.75" customHeight="1" x14ac:dyDescent="0.25">
      <c r="C161" s="11"/>
      <c r="I161" s="11"/>
    </row>
    <row r="162" spans="3:9" ht="15.75" customHeight="1" x14ac:dyDescent="0.25">
      <c r="C162" s="11"/>
      <c r="I162" s="11"/>
    </row>
    <row r="163" spans="3:9" ht="15.75" customHeight="1" x14ac:dyDescent="0.25">
      <c r="C163" s="11"/>
      <c r="I163" s="11"/>
    </row>
    <row r="164" spans="3:9" ht="15.75" customHeight="1" x14ac:dyDescent="0.25">
      <c r="C164" s="11"/>
      <c r="I164" s="11"/>
    </row>
    <row r="165" spans="3:9" ht="15.75" customHeight="1" x14ac:dyDescent="0.25">
      <c r="C165" s="11"/>
      <c r="I165" s="11"/>
    </row>
    <row r="166" spans="3:9" ht="15.75" customHeight="1" x14ac:dyDescent="0.25">
      <c r="C166" s="11"/>
      <c r="I166" s="11"/>
    </row>
    <row r="167" spans="3:9" ht="15.75" customHeight="1" x14ac:dyDescent="0.25">
      <c r="C167" s="11"/>
      <c r="I167" s="11"/>
    </row>
    <row r="168" spans="3:9" ht="15.75" customHeight="1" x14ac:dyDescent="0.25">
      <c r="C168" s="11"/>
      <c r="I168" s="11"/>
    </row>
    <row r="169" spans="3:9" ht="15.75" customHeight="1" x14ac:dyDescent="0.25">
      <c r="C169" s="11"/>
      <c r="I169" s="11"/>
    </row>
    <row r="170" spans="3:9" ht="15.75" customHeight="1" x14ac:dyDescent="0.25">
      <c r="C170" s="11"/>
      <c r="I170" s="11"/>
    </row>
    <row r="171" spans="3:9" ht="15.75" customHeight="1" x14ac:dyDescent="0.25">
      <c r="C171" s="11"/>
      <c r="I171" s="11"/>
    </row>
    <row r="172" spans="3:9" ht="15.75" customHeight="1" x14ac:dyDescent="0.25">
      <c r="C172" s="11"/>
      <c r="I172" s="11"/>
    </row>
    <row r="173" spans="3:9" ht="15.75" customHeight="1" x14ac:dyDescent="0.25">
      <c r="C173" s="11"/>
      <c r="I173" s="11"/>
    </row>
    <row r="174" spans="3:9" ht="15.75" customHeight="1" x14ac:dyDescent="0.25">
      <c r="C174" s="11"/>
      <c r="I174" s="11"/>
    </row>
    <row r="175" spans="3:9" ht="15.75" customHeight="1" x14ac:dyDescent="0.25">
      <c r="C175" s="11"/>
      <c r="I175" s="11"/>
    </row>
    <row r="176" spans="3:9" ht="15.75" customHeight="1" x14ac:dyDescent="0.25">
      <c r="C176" s="11"/>
      <c r="I176" s="11"/>
    </row>
    <row r="177" spans="3:9" ht="15.75" customHeight="1" x14ac:dyDescent="0.25">
      <c r="C177" s="11"/>
      <c r="I177" s="11"/>
    </row>
    <row r="178" spans="3:9" ht="15.75" customHeight="1" x14ac:dyDescent="0.25">
      <c r="C178" s="11"/>
      <c r="I178" s="11"/>
    </row>
    <row r="179" spans="3:9" ht="15.75" customHeight="1" x14ac:dyDescent="0.25">
      <c r="C179" s="11"/>
      <c r="I179" s="11"/>
    </row>
    <row r="180" spans="3:9" ht="15.75" customHeight="1" x14ac:dyDescent="0.25">
      <c r="C180" s="11"/>
      <c r="I180" s="11"/>
    </row>
    <row r="181" spans="3:9" ht="15.75" customHeight="1" x14ac:dyDescent="0.25">
      <c r="C181" s="11"/>
      <c r="I181" s="11"/>
    </row>
    <row r="182" spans="3:9" ht="15.75" customHeight="1" x14ac:dyDescent="0.25">
      <c r="C182" s="11"/>
      <c r="I182" s="11"/>
    </row>
    <row r="183" spans="3:9" ht="15.75" customHeight="1" x14ac:dyDescent="0.25">
      <c r="C183" s="11"/>
      <c r="I183" s="11"/>
    </row>
    <row r="184" spans="3:9" ht="15.75" customHeight="1" x14ac:dyDescent="0.25">
      <c r="C184" s="11"/>
      <c r="I184" s="11"/>
    </row>
    <row r="185" spans="3:9" ht="15.75" customHeight="1" x14ac:dyDescent="0.25">
      <c r="C185" s="11"/>
      <c r="I185" s="11"/>
    </row>
    <row r="186" spans="3:9" ht="15.75" customHeight="1" x14ac:dyDescent="0.25">
      <c r="C186" s="11"/>
      <c r="I186" s="11"/>
    </row>
    <row r="187" spans="3:9" ht="15.75" customHeight="1" x14ac:dyDescent="0.25">
      <c r="C187" s="11"/>
      <c r="I187" s="11"/>
    </row>
    <row r="188" spans="3:9" ht="15.75" customHeight="1" x14ac:dyDescent="0.25">
      <c r="C188" s="11"/>
      <c r="I188" s="11"/>
    </row>
    <row r="189" spans="3:9" ht="15.75" customHeight="1" x14ac:dyDescent="0.25">
      <c r="C189" s="11"/>
      <c r="I189" s="11"/>
    </row>
    <row r="190" spans="3:9" ht="15.75" customHeight="1" x14ac:dyDescent="0.25">
      <c r="C190" s="11"/>
      <c r="I190" s="11"/>
    </row>
    <row r="191" spans="3:9" ht="15.75" customHeight="1" x14ac:dyDescent="0.25">
      <c r="C191" s="11"/>
      <c r="I191" s="11"/>
    </row>
    <row r="192" spans="3:9" ht="15.75" customHeight="1" x14ac:dyDescent="0.25">
      <c r="C192" s="11"/>
      <c r="I192" s="11"/>
    </row>
    <row r="193" spans="3:9" ht="15.75" customHeight="1" x14ac:dyDescent="0.25">
      <c r="C193" s="11"/>
      <c r="I193" s="11"/>
    </row>
    <row r="194" spans="3:9" ht="15.75" customHeight="1" x14ac:dyDescent="0.25">
      <c r="C194" s="11"/>
      <c r="I194" s="11"/>
    </row>
    <row r="195" spans="3:9" ht="15.75" customHeight="1" x14ac:dyDescent="0.25">
      <c r="C195" s="11"/>
      <c r="I195" s="11"/>
    </row>
    <row r="196" spans="3:9" ht="15.75" customHeight="1" x14ac:dyDescent="0.25">
      <c r="C196" s="11"/>
      <c r="I196" s="11"/>
    </row>
    <row r="197" spans="3:9" ht="15.75" customHeight="1" x14ac:dyDescent="0.25">
      <c r="C197" s="11"/>
      <c r="I197" s="11"/>
    </row>
    <row r="198" spans="3:9" ht="15.75" customHeight="1" x14ac:dyDescent="0.25">
      <c r="C198" s="11"/>
      <c r="I198" s="11"/>
    </row>
    <row r="199" spans="3:9" ht="15.75" customHeight="1" x14ac:dyDescent="0.25">
      <c r="C199" s="11"/>
      <c r="I199" s="11"/>
    </row>
    <row r="200" spans="3:9" ht="15.75" customHeight="1" x14ac:dyDescent="0.25">
      <c r="C200" s="11"/>
      <c r="I200" s="11"/>
    </row>
    <row r="201" spans="3:9" ht="15.75" customHeight="1" x14ac:dyDescent="0.25">
      <c r="C201" s="11"/>
      <c r="I201" s="11"/>
    </row>
    <row r="202" spans="3:9" ht="15.75" customHeight="1" x14ac:dyDescent="0.25">
      <c r="C202" s="11"/>
      <c r="I202" s="11"/>
    </row>
    <row r="203" spans="3:9" ht="15.75" customHeight="1" x14ac:dyDescent="0.25">
      <c r="C203" s="11"/>
      <c r="I203" s="11"/>
    </row>
    <row r="204" spans="3:9" ht="15.75" customHeight="1" x14ac:dyDescent="0.25">
      <c r="C204" s="11"/>
      <c r="I204" s="11"/>
    </row>
    <row r="205" spans="3:9" ht="15.75" customHeight="1" x14ac:dyDescent="0.25">
      <c r="C205" s="11"/>
      <c r="I205" s="11"/>
    </row>
    <row r="206" spans="3:9" ht="15.75" customHeight="1" x14ac:dyDescent="0.25">
      <c r="C206" s="11"/>
      <c r="I206" s="11"/>
    </row>
    <row r="207" spans="3:9" ht="15.75" customHeight="1" x14ac:dyDescent="0.25">
      <c r="C207" s="11"/>
      <c r="I207" s="11"/>
    </row>
    <row r="208" spans="3:9" ht="15.75" customHeight="1" x14ac:dyDescent="0.25">
      <c r="C208" s="11"/>
      <c r="I208" s="11"/>
    </row>
    <row r="209" spans="3:9" ht="15.75" customHeight="1" x14ac:dyDescent="0.25">
      <c r="C209" s="11"/>
      <c r="I209" s="11"/>
    </row>
    <row r="210" spans="3:9" ht="15.75" customHeight="1" x14ac:dyDescent="0.25">
      <c r="C210" s="11"/>
      <c r="I210" s="11"/>
    </row>
    <row r="211" spans="3:9" ht="15.75" customHeight="1" x14ac:dyDescent="0.25">
      <c r="C211" s="11"/>
      <c r="I211" s="11"/>
    </row>
    <row r="212" spans="3:9" ht="15.75" customHeight="1" x14ac:dyDescent="0.25">
      <c r="C212" s="11"/>
      <c r="I212" s="11"/>
    </row>
    <row r="213" spans="3:9" ht="15.75" customHeight="1" x14ac:dyDescent="0.25">
      <c r="C213" s="11"/>
      <c r="I213" s="11"/>
    </row>
    <row r="214" spans="3:9" ht="15.75" customHeight="1" x14ac:dyDescent="0.25">
      <c r="C214" s="11"/>
      <c r="I214" s="11"/>
    </row>
    <row r="215" spans="3:9" ht="15.75" customHeight="1" x14ac:dyDescent="0.25">
      <c r="C215" s="11"/>
      <c r="I215" s="11"/>
    </row>
    <row r="216" spans="3:9" ht="15.75" customHeight="1" x14ac:dyDescent="0.25">
      <c r="C216" s="11"/>
      <c r="I216" s="11"/>
    </row>
    <row r="217" spans="3:9" ht="15.75" customHeight="1" x14ac:dyDescent="0.25">
      <c r="C217" s="11"/>
      <c r="I217" s="11"/>
    </row>
    <row r="218" spans="3:9" ht="15.75" customHeight="1" x14ac:dyDescent="0.25">
      <c r="C218" s="11"/>
      <c r="I218" s="11"/>
    </row>
    <row r="219" spans="3:9" ht="15.75" customHeight="1" x14ac:dyDescent="0.25">
      <c r="C219" s="11"/>
      <c r="I219" s="11"/>
    </row>
    <row r="220" spans="3:9" ht="15.75" customHeight="1" x14ac:dyDescent="0.25">
      <c r="C220" s="11"/>
      <c r="I220" s="11"/>
    </row>
    <row r="221" spans="3:9" ht="15.75" customHeight="1" x14ac:dyDescent="0.25">
      <c r="C221" s="11"/>
      <c r="I221" s="11"/>
    </row>
    <row r="222" spans="3:9" ht="15.75" customHeight="1" x14ac:dyDescent="0.25">
      <c r="C222" s="11"/>
      <c r="I222" s="11"/>
    </row>
    <row r="223" spans="3:9" ht="15.75" customHeight="1" x14ac:dyDescent="0.25">
      <c r="C223" s="11"/>
      <c r="I223" s="11"/>
    </row>
    <row r="224" spans="3:9" ht="15.75" customHeight="1" x14ac:dyDescent="0.25">
      <c r="C224" s="11"/>
      <c r="I224" s="11"/>
    </row>
    <row r="225" spans="3:9" ht="15.75" customHeight="1" x14ac:dyDescent="0.25">
      <c r="C225" s="11"/>
      <c r="I225" s="11"/>
    </row>
    <row r="226" spans="3:9" ht="15.75" customHeight="1" x14ac:dyDescent="0.25">
      <c r="C226" s="11"/>
      <c r="I226" s="11"/>
    </row>
    <row r="227" spans="3:9" ht="15.75" customHeight="1" x14ac:dyDescent="0.25">
      <c r="C227" s="11"/>
      <c r="I227" s="11"/>
    </row>
    <row r="228" spans="3:9" ht="15.75" customHeight="1" x14ac:dyDescent="0.25">
      <c r="C228" s="11"/>
      <c r="I228" s="11"/>
    </row>
    <row r="229" spans="3:9" ht="15.75" customHeight="1" x14ac:dyDescent="0.25">
      <c r="C229" s="11"/>
      <c r="I229" s="11"/>
    </row>
    <row r="230" spans="3:9" ht="15.75" customHeight="1" x14ac:dyDescent="0.25">
      <c r="C230" s="11"/>
      <c r="I230" s="11"/>
    </row>
    <row r="231" spans="3:9" ht="15.75" customHeight="1" x14ac:dyDescent="0.25">
      <c r="C231" s="11"/>
      <c r="I231" s="11"/>
    </row>
    <row r="232" spans="3:9" ht="15.75" customHeight="1" x14ac:dyDescent="0.25">
      <c r="C232" s="11"/>
      <c r="I232" s="11"/>
    </row>
    <row r="233" spans="3:9" ht="15.75" customHeight="1" x14ac:dyDescent="0.25">
      <c r="C233" s="11"/>
      <c r="I233" s="11"/>
    </row>
    <row r="234" spans="3:9" ht="15.75" customHeight="1" x14ac:dyDescent="0.25">
      <c r="C234" s="11"/>
      <c r="I234" s="11"/>
    </row>
    <row r="235" spans="3:9" ht="15.75" customHeight="1" x14ac:dyDescent="0.25">
      <c r="C235" s="11"/>
      <c r="I235" s="11"/>
    </row>
    <row r="236" spans="3:9" ht="15.75" customHeight="1" x14ac:dyDescent="0.25">
      <c r="C236" s="11"/>
      <c r="I236" s="11"/>
    </row>
    <row r="237" spans="3:9" ht="15.75" customHeight="1" x14ac:dyDescent="0.25">
      <c r="C237" s="11"/>
      <c r="I237" s="11"/>
    </row>
    <row r="238" spans="3:9" ht="15.75" customHeight="1" x14ac:dyDescent="0.25">
      <c r="C238" s="11"/>
      <c r="I238" s="11"/>
    </row>
    <row r="239" spans="3:9" ht="15.75" customHeight="1" x14ac:dyDescent="0.25">
      <c r="C239" s="11"/>
      <c r="I239" s="11"/>
    </row>
    <row r="240" spans="3:9" ht="15.75" customHeight="1" x14ac:dyDescent="0.25">
      <c r="C240" s="11"/>
      <c r="I240" s="11"/>
    </row>
    <row r="241" spans="3:9" ht="15.75" customHeight="1" x14ac:dyDescent="0.25">
      <c r="C241" s="11"/>
      <c r="I241" s="11"/>
    </row>
    <row r="242" spans="3:9" ht="15.75" customHeight="1" x14ac:dyDescent="0.25">
      <c r="C242" s="11"/>
      <c r="I242" s="11"/>
    </row>
    <row r="243" spans="3:9" ht="15.75" customHeight="1" x14ac:dyDescent="0.25">
      <c r="C243" s="11"/>
      <c r="I243" s="11"/>
    </row>
    <row r="244" spans="3:9" ht="15.75" customHeight="1" x14ac:dyDescent="0.25">
      <c r="C244" s="11"/>
      <c r="I244" s="11"/>
    </row>
    <row r="245" spans="3:9" ht="15.75" customHeight="1" x14ac:dyDescent="0.25">
      <c r="C245" s="11"/>
      <c r="I245" s="11"/>
    </row>
    <row r="246" spans="3:9" ht="15.75" customHeight="1" x14ac:dyDescent="0.25">
      <c r="C246" s="11"/>
      <c r="I246" s="11"/>
    </row>
    <row r="247" spans="3:9" ht="15.75" customHeight="1" x14ac:dyDescent="0.25">
      <c r="C247" s="11"/>
      <c r="I247" s="11"/>
    </row>
    <row r="248" spans="3:9" ht="15.75" customHeight="1" x14ac:dyDescent="0.25">
      <c r="C248" s="11"/>
      <c r="I248" s="11"/>
    </row>
    <row r="249" spans="3:9" ht="15.75" customHeight="1" x14ac:dyDescent="0.25">
      <c r="C249" s="11"/>
      <c r="I249" s="11"/>
    </row>
    <row r="250" spans="3:9" ht="15.75" customHeight="1" x14ac:dyDescent="0.25">
      <c r="C250" s="11"/>
      <c r="I250" s="11"/>
    </row>
    <row r="251" spans="3:9" ht="15.75" customHeight="1" x14ac:dyDescent="0.25">
      <c r="C251" s="11"/>
      <c r="I251" s="11"/>
    </row>
    <row r="252" spans="3:9" ht="15.75" customHeight="1" x14ac:dyDescent="0.25">
      <c r="C252" s="11"/>
      <c r="I252" s="11"/>
    </row>
    <row r="253" spans="3:9" ht="15.75" customHeight="1" x14ac:dyDescent="0.25">
      <c r="C253" s="11"/>
      <c r="I253" s="11"/>
    </row>
    <row r="254" spans="3:9" ht="15.75" customHeight="1" x14ac:dyDescent="0.25">
      <c r="C254" s="11"/>
      <c r="I254" s="11"/>
    </row>
    <row r="255" spans="3:9" ht="15.75" customHeight="1" x14ac:dyDescent="0.25">
      <c r="C255" s="11"/>
      <c r="I255" s="11"/>
    </row>
    <row r="256" spans="3:9" ht="15.75" customHeight="1" x14ac:dyDescent="0.25">
      <c r="C256" s="11"/>
      <c r="I256" s="11"/>
    </row>
    <row r="257" spans="3:9" ht="15.75" customHeight="1" x14ac:dyDescent="0.25">
      <c r="C257" s="11"/>
      <c r="I257" s="11"/>
    </row>
    <row r="258" spans="3:9" ht="15.75" customHeight="1" x14ac:dyDescent="0.25">
      <c r="C258" s="11"/>
      <c r="I258" s="11"/>
    </row>
    <row r="259" spans="3:9" ht="15.75" customHeight="1" x14ac:dyDescent="0.25">
      <c r="C259" s="11"/>
      <c r="I259" s="11"/>
    </row>
    <row r="260" spans="3:9" ht="15.75" customHeight="1" x14ac:dyDescent="0.25">
      <c r="C260" s="11"/>
      <c r="I260" s="11"/>
    </row>
    <row r="261" spans="3:9" ht="15.75" customHeight="1" x14ac:dyDescent="0.25">
      <c r="C261" s="11"/>
      <c r="I261" s="11"/>
    </row>
    <row r="262" spans="3:9" ht="15.75" customHeight="1" x14ac:dyDescent="0.25">
      <c r="C262" s="11"/>
      <c r="I262" s="11"/>
    </row>
    <row r="263" spans="3:9" ht="15.75" customHeight="1" x14ac:dyDescent="0.25">
      <c r="C263" s="11"/>
      <c r="I263" s="11"/>
    </row>
    <row r="264" spans="3:9" ht="15.75" customHeight="1" x14ac:dyDescent="0.25">
      <c r="C264" s="11"/>
      <c r="I264" s="11"/>
    </row>
    <row r="265" spans="3:9" ht="15.75" customHeight="1" x14ac:dyDescent="0.25">
      <c r="C265" s="11"/>
      <c r="I265" s="11"/>
    </row>
    <row r="266" spans="3:9" ht="15.75" customHeight="1" x14ac:dyDescent="0.25">
      <c r="C266" s="11"/>
      <c r="I266" s="11"/>
    </row>
    <row r="267" spans="3:9" ht="15.75" customHeight="1" x14ac:dyDescent="0.25">
      <c r="C267" s="11"/>
      <c r="I267" s="11"/>
    </row>
    <row r="268" spans="3:9" ht="15.75" customHeight="1" x14ac:dyDescent="0.25">
      <c r="C268" s="11"/>
      <c r="I268" s="11"/>
    </row>
    <row r="269" spans="3:9" ht="15.75" customHeight="1" x14ac:dyDescent="0.25">
      <c r="C269" s="11"/>
      <c r="I269" s="11"/>
    </row>
    <row r="270" spans="3:9" ht="15.75" customHeight="1" x14ac:dyDescent="0.25">
      <c r="C270" s="11"/>
      <c r="I270" s="11"/>
    </row>
    <row r="271" spans="3:9" ht="15.75" customHeight="1" x14ac:dyDescent="0.25">
      <c r="C271" s="11"/>
      <c r="I271" s="11"/>
    </row>
    <row r="272" spans="3:9" ht="15.75" customHeight="1" x14ac:dyDescent="0.25">
      <c r="C272" s="11"/>
      <c r="I272" s="11"/>
    </row>
    <row r="273" spans="3:9" ht="15.75" customHeight="1" x14ac:dyDescent="0.25">
      <c r="C273" s="11"/>
      <c r="I273" s="11"/>
    </row>
    <row r="274" spans="3:9" ht="15.75" customHeight="1" x14ac:dyDescent="0.25">
      <c r="C274" s="11"/>
      <c r="I274" s="11"/>
    </row>
    <row r="275" spans="3:9" ht="15.75" customHeight="1" x14ac:dyDescent="0.25">
      <c r="C275" s="11"/>
      <c r="I275" s="11"/>
    </row>
    <row r="276" spans="3:9" ht="15.75" customHeight="1" x14ac:dyDescent="0.25">
      <c r="C276" s="11"/>
      <c r="I276" s="11"/>
    </row>
    <row r="277" spans="3:9" ht="15.75" customHeight="1" x14ac:dyDescent="0.25">
      <c r="C277" s="11"/>
      <c r="I277" s="11"/>
    </row>
    <row r="278" spans="3:9" ht="15.75" customHeight="1" x14ac:dyDescent="0.25">
      <c r="C278" s="11"/>
      <c r="I278" s="11"/>
    </row>
    <row r="279" spans="3:9" ht="15.75" customHeight="1" x14ac:dyDescent="0.25">
      <c r="C279" s="11"/>
      <c r="I279" s="11"/>
    </row>
    <row r="280" spans="3:9" ht="15.75" customHeight="1" x14ac:dyDescent="0.25">
      <c r="C280" s="11"/>
      <c r="I280" s="11"/>
    </row>
    <row r="281" spans="3:9" ht="15.75" customHeight="1" x14ac:dyDescent="0.25">
      <c r="C281" s="11"/>
      <c r="I281" s="11"/>
    </row>
    <row r="282" spans="3:9" ht="15.75" customHeight="1" x14ac:dyDescent="0.25">
      <c r="C282" s="11"/>
      <c r="I282" s="11"/>
    </row>
    <row r="283" spans="3:9" ht="15.75" customHeight="1" x14ac:dyDescent="0.25">
      <c r="C283" s="11"/>
      <c r="I283" s="11"/>
    </row>
    <row r="284" spans="3:9" ht="15.75" customHeight="1" x14ac:dyDescent="0.25">
      <c r="C284" s="11"/>
      <c r="I284" s="11"/>
    </row>
    <row r="285" spans="3:9" ht="15.75" customHeight="1" x14ac:dyDescent="0.25">
      <c r="C285" s="11"/>
      <c r="I285" s="11"/>
    </row>
    <row r="286" spans="3:9" ht="15.75" customHeight="1" x14ac:dyDescent="0.25">
      <c r="C286" s="11"/>
      <c r="I286" s="11"/>
    </row>
    <row r="287" spans="3:9" ht="15.75" customHeight="1" x14ac:dyDescent="0.25">
      <c r="C287" s="11"/>
      <c r="I287" s="11"/>
    </row>
    <row r="288" spans="3:9" ht="15.75" customHeight="1" x14ac:dyDescent="0.25">
      <c r="C288" s="11"/>
      <c r="I288" s="11"/>
    </row>
    <row r="289" spans="3:9" ht="15.75" customHeight="1" x14ac:dyDescent="0.25">
      <c r="C289" s="11"/>
      <c r="I289" s="11"/>
    </row>
    <row r="290" spans="3:9" ht="15.75" customHeight="1" x14ac:dyDescent="0.25">
      <c r="C290" s="11"/>
      <c r="I290" s="11"/>
    </row>
    <row r="291" spans="3:9" ht="15.75" customHeight="1" x14ac:dyDescent="0.25">
      <c r="C291" s="11"/>
      <c r="I291" s="11"/>
    </row>
    <row r="292" spans="3:9" ht="15.75" customHeight="1" x14ac:dyDescent="0.25">
      <c r="C292" s="11"/>
      <c r="I292" s="11"/>
    </row>
    <row r="293" spans="3:9" ht="15.75" customHeight="1" x14ac:dyDescent="0.25">
      <c r="C293" s="11"/>
      <c r="I293" s="11"/>
    </row>
    <row r="294" spans="3:9" ht="15.75" customHeight="1" x14ac:dyDescent="0.25">
      <c r="C294" s="11"/>
      <c r="I294" s="11"/>
    </row>
    <row r="295" spans="3:9" ht="15.75" customHeight="1" x14ac:dyDescent="0.25">
      <c r="C295" s="11"/>
      <c r="I295" s="11"/>
    </row>
    <row r="296" spans="3:9" ht="15.75" customHeight="1" x14ac:dyDescent="0.25">
      <c r="C296" s="11"/>
      <c r="I296" s="11"/>
    </row>
    <row r="297" spans="3:9" ht="15.75" customHeight="1" x14ac:dyDescent="0.25">
      <c r="C297" s="11"/>
      <c r="I297" s="11"/>
    </row>
    <row r="298" spans="3:9" ht="15.75" customHeight="1" x14ac:dyDescent="0.25">
      <c r="C298" s="11"/>
      <c r="I298" s="11"/>
    </row>
    <row r="299" spans="3:9" ht="15.75" customHeight="1" x14ac:dyDescent="0.25">
      <c r="C299" s="11"/>
      <c r="I299" s="11"/>
    </row>
    <row r="300" spans="3:9" ht="15.75" customHeight="1" x14ac:dyDescent="0.25">
      <c r="C300" s="11"/>
      <c r="I300" s="11"/>
    </row>
    <row r="301" spans="3:9" ht="15.75" customHeight="1" x14ac:dyDescent="0.25">
      <c r="C301" s="11"/>
      <c r="I301" s="11"/>
    </row>
    <row r="302" spans="3:9" ht="15.75" customHeight="1" x14ac:dyDescent="0.25">
      <c r="C302" s="11"/>
      <c r="I302" s="11"/>
    </row>
    <row r="303" spans="3:9" ht="15.75" customHeight="1" x14ac:dyDescent="0.25">
      <c r="C303" s="11"/>
      <c r="I303" s="11"/>
    </row>
    <row r="304" spans="3:9" ht="15.75" customHeight="1" x14ac:dyDescent="0.25">
      <c r="C304" s="11"/>
      <c r="I304" s="11"/>
    </row>
    <row r="305" spans="3:9" ht="15.75" customHeight="1" x14ac:dyDescent="0.25">
      <c r="C305" s="11"/>
      <c r="I305" s="11"/>
    </row>
    <row r="306" spans="3:9" ht="15.75" customHeight="1" x14ac:dyDescent="0.25">
      <c r="C306" s="11"/>
      <c r="I306" s="11"/>
    </row>
    <row r="307" spans="3:9" ht="15.75" customHeight="1" x14ac:dyDescent="0.25">
      <c r="C307" s="11"/>
      <c r="I307" s="11"/>
    </row>
    <row r="308" spans="3:9" ht="15.75" customHeight="1" x14ac:dyDescent="0.25">
      <c r="C308" s="11"/>
      <c r="I308" s="11"/>
    </row>
    <row r="309" spans="3:9" ht="15.75" customHeight="1" x14ac:dyDescent="0.25">
      <c r="C309" s="11"/>
      <c r="I309" s="11"/>
    </row>
    <row r="310" spans="3:9" ht="15.75" customHeight="1" x14ac:dyDescent="0.25">
      <c r="C310" s="11"/>
      <c r="I310" s="11"/>
    </row>
    <row r="311" spans="3:9" ht="15.75" customHeight="1" x14ac:dyDescent="0.25">
      <c r="C311" s="11"/>
      <c r="I311" s="11"/>
    </row>
    <row r="312" spans="3:9" ht="15.75" customHeight="1" x14ac:dyDescent="0.25">
      <c r="C312" s="11"/>
      <c r="I312" s="11"/>
    </row>
    <row r="313" spans="3:9" ht="15.75" customHeight="1" x14ac:dyDescent="0.25">
      <c r="C313" s="11"/>
      <c r="I313" s="11"/>
    </row>
    <row r="314" spans="3:9" ht="15.75" customHeight="1" x14ac:dyDescent="0.25">
      <c r="C314" s="11"/>
      <c r="I314" s="11"/>
    </row>
    <row r="315" spans="3:9" ht="15.75" customHeight="1" x14ac:dyDescent="0.25">
      <c r="C315" s="11"/>
      <c r="I315" s="11"/>
    </row>
    <row r="316" spans="3:9" ht="15.75" customHeight="1" x14ac:dyDescent="0.25">
      <c r="C316" s="11"/>
      <c r="I316" s="11"/>
    </row>
    <row r="317" spans="3:9" ht="15.75" customHeight="1" x14ac:dyDescent="0.25">
      <c r="C317" s="11"/>
      <c r="I317" s="11"/>
    </row>
    <row r="318" spans="3:9" ht="15.75" customHeight="1" x14ac:dyDescent="0.25">
      <c r="C318" s="11"/>
      <c r="I318" s="11"/>
    </row>
    <row r="319" spans="3:9" ht="15.75" customHeight="1" x14ac:dyDescent="0.25">
      <c r="C319" s="11"/>
      <c r="I319" s="11"/>
    </row>
    <row r="320" spans="3:9" ht="15.75" customHeight="1" x14ac:dyDescent="0.25">
      <c r="C320" s="11"/>
      <c r="I320" s="11"/>
    </row>
    <row r="321" spans="3:9" ht="15.75" customHeight="1" x14ac:dyDescent="0.25">
      <c r="C321" s="11"/>
      <c r="I321" s="11"/>
    </row>
    <row r="322" spans="3:9" ht="15.75" customHeight="1" x14ac:dyDescent="0.25">
      <c r="C322" s="11"/>
      <c r="I322" s="11"/>
    </row>
    <row r="323" spans="3:9" ht="15.75" customHeight="1" x14ac:dyDescent="0.25">
      <c r="C323" s="11"/>
      <c r="I323" s="11"/>
    </row>
    <row r="324" spans="3:9" ht="15.75" customHeight="1" x14ac:dyDescent="0.25">
      <c r="C324" s="11"/>
      <c r="I324" s="11"/>
    </row>
    <row r="325" spans="3:9" ht="15.75" customHeight="1" x14ac:dyDescent="0.25">
      <c r="C325" s="11"/>
      <c r="I325" s="11"/>
    </row>
    <row r="326" spans="3:9" ht="15.75" customHeight="1" x14ac:dyDescent="0.25">
      <c r="C326" s="11"/>
      <c r="I326" s="11"/>
    </row>
    <row r="327" spans="3:9" ht="15.75" customHeight="1" x14ac:dyDescent="0.25">
      <c r="C327" s="11"/>
      <c r="I327" s="11"/>
    </row>
    <row r="328" spans="3:9" ht="15.75" customHeight="1" x14ac:dyDescent="0.25">
      <c r="C328" s="11"/>
      <c r="I328" s="11"/>
    </row>
    <row r="329" spans="3:9" ht="15.75" customHeight="1" x14ac:dyDescent="0.25">
      <c r="C329" s="11"/>
      <c r="I329" s="11"/>
    </row>
    <row r="330" spans="3:9" ht="15.75" customHeight="1" x14ac:dyDescent="0.25">
      <c r="C330" s="11"/>
      <c r="I330" s="11"/>
    </row>
    <row r="331" spans="3:9" ht="15.75" customHeight="1" x14ac:dyDescent="0.25">
      <c r="C331" s="11"/>
      <c r="I331" s="11"/>
    </row>
    <row r="332" spans="3:9" ht="15.75" customHeight="1" x14ac:dyDescent="0.25">
      <c r="C332" s="11"/>
      <c r="I332" s="11"/>
    </row>
    <row r="333" spans="3:9" ht="15.75" customHeight="1" x14ac:dyDescent="0.25">
      <c r="C333" s="11"/>
      <c r="I333" s="11"/>
    </row>
    <row r="334" spans="3:9" ht="15.75" customHeight="1" x14ac:dyDescent="0.25">
      <c r="C334" s="11"/>
      <c r="I334" s="11"/>
    </row>
    <row r="335" spans="3:9" ht="15.75" customHeight="1" x14ac:dyDescent="0.25">
      <c r="C335" s="11"/>
      <c r="I335" s="11"/>
    </row>
    <row r="336" spans="3:9" ht="15.75" customHeight="1" x14ac:dyDescent="0.25">
      <c r="C336" s="11"/>
      <c r="I336" s="11"/>
    </row>
    <row r="337" spans="3:9" ht="15.75" customHeight="1" x14ac:dyDescent="0.25">
      <c r="C337" s="11"/>
      <c r="I337" s="11"/>
    </row>
    <row r="338" spans="3:9" ht="15.75" customHeight="1" x14ac:dyDescent="0.25">
      <c r="C338" s="11"/>
      <c r="I338" s="11"/>
    </row>
    <row r="339" spans="3:9" ht="15.75" customHeight="1" x14ac:dyDescent="0.25">
      <c r="C339" s="11"/>
      <c r="I339" s="11"/>
    </row>
    <row r="340" spans="3:9" ht="15.75" customHeight="1" x14ac:dyDescent="0.25">
      <c r="C340" s="11"/>
      <c r="I340" s="11"/>
    </row>
    <row r="341" spans="3:9" ht="15.75" customHeight="1" x14ac:dyDescent="0.25">
      <c r="C341" s="11"/>
      <c r="I341" s="11"/>
    </row>
    <row r="342" spans="3:9" ht="15.75" customHeight="1" x14ac:dyDescent="0.25">
      <c r="C342" s="11"/>
      <c r="I342" s="11"/>
    </row>
    <row r="343" spans="3:9" ht="15.75" customHeight="1" x14ac:dyDescent="0.25">
      <c r="C343" s="11"/>
      <c r="I343" s="11"/>
    </row>
    <row r="344" spans="3:9" ht="15.75" customHeight="1" x14ac:dyDescent="0.25">
      <c r="C344" s="11"/>
      <c r="I344" s="11"/>
    </row>
    <row r="345" spans="3:9" ht="15.75" customHeight="1" x14ac:dyDescent="0.25">
      <c r="C345" s="11"/>
      <c r="I345" s="11"/>
    </row>
    <row r="346" spans="3:9" ht="15.75" customHeight="1" x14ac:dyDescent="0.25">
      <c r="C346" s="11"/>
      <c r="I346" s="11"/>
    </row>
    <row r="347" spans="3:9" ht="15.75" customHeight="1" x14ac:dyDescent="0.25">
      <c r="C347" s="11"/>
      <c r="I347" s="11"/>
    </row>
    <row r="348" spans="3:9" ht="15.75" customHeight="1" x14ac:dyDescent="0.25">
      <c r="C348" s="11"/>
      <c r="I348" s="11"/>
    </row>
    <row r="349" spans="3:9" ht="15.75" customHeight="1" x14ac:dyDescent="0.25">
      <c r="C349" s="11"/>
      <c r="I349" s="11"/>
    </row>
    <row r="350" spans="3:9" ht="15.75" customHeight="1" x14ac:dyDescent="0.25">
      <c r="C350" s="11"/>
      <c r="I350" s="11"/>
    </row>
    <row r="351" spans="3:9" ht="15.75" customHeight="1" x14ac:dyDescent="0.25">
      <c r="C351" s="11"/>
      <c r="I351" s="11"/>
    </row>
    <row r="352" spans="3:9" ht="15.75" customHeight="1" x14ac:dyDescent="0.25">
      <c r="C352" s="11"/>
      <c r="I352" s="11"/>
    </row>
    <row r="353" spans="3:9" ht="15.75" customHeight="1" x14ac:dyDescent="0.25">
      <c r="C353" s="11"/>
      <c r="I353" s="11"/>
    </row>
    <row r="354" spans="3:9" ht="15.75" customHeight="1" x14ac:dyDescent="0.25">
      <c r="C354" s="11"/>
      <c r="I354" s="11"/>
    </row>
    <row r="355" spans="3:9" ht="15.75" customHeight="1" x14ac:dyDescent="0.25">
      <c r="C355" s="11"/>
      <c r="I355" s="11"/>
    </row>
    <row r="356" spans="3:9" ht="15.75" customHeight="1" x14ac:dyDescent="0.25">
      <c r="C356" s="11"/>
      <c r="I356" s="11"/>
    </row>
    <row r="357" spans="3:9" ht="15.75" customHeight="1" x14ac:dyDescent="0.25">
      <c r="C357" s="11"/>
      <c r="I357" s="11"/>
    </row>
    <row r="358" spans="3:9" ht="15.75" customHeight="1" x14ac:dyDescent="0.25">
      <c r="C358" s="11"/>
      <c r="I358" s="11"/>
    </row>
    <row r="359" spans="3:9" ht="15.75" customHeight="1" x14ac:dyDescent="0.25">
      <c r="C359" s="11"/>
      <c r="I359" s="11"/>
    </row>
    <row r="360" spans="3:9" ht="15.75" customHeight="1" x14ac:dyDescent="0.25">
      <c r="C360" s="11"/>
      <c r="I360" s="11"/>
    </row>
    <row r="361" spans="3:9" ht="15.75" customHeight="1" x14ac:dyDescent="0.25">
      <c r="C361" s="11"/>
      <c r="I361" s="11"/>
    </row>
    <row r="362" spans="3:9" ht="15.75" customHeight="1" x14ac:dyDescent="0.25">
      <c r="C362" s="11"/>
      <c r="I362" s="11"/>
    </row>
    <row r="363" spans="3:9" ht="15.75" customHeight="1" x14ac:dyDescent="0.25">
      <c r="C363" s="11"/>
      <c r="I363" s="11"/>
    </row>
    <row r="364" spans="3:9" ht="15.75" customHeight="1" x14ac:dyDescent="0.25">
      <c r="C364" s="11"/>
      <c r="I364" s="11"/>
    </row>
    <row r="365" spans="3:9" ht="15.75" customHeight="1" x14ac:dyDescent="0.25">
      <c r="C365" s="11"/>
      <c r="I365" s="11"/>
    </row>
    <row r="366" spans="3:9" ht="15.75" customHeight="1" x14ac:dyDescent="0.25">
      <c r="C366" s="11"/>
      <c r="I366" s="11"/>
    </row>
    <row r="367" spans="3:9" ht="15.75" customHeight="1" x14ac:dyDescent="0.25">
      <c r="C367" s="11"/>
      <c r="I367" s="11"/>
    </row>
    <row r="368" spans="3:9" ht="15.75" customHeight="1" x14ac:dyDescent="0.25">
      <c r="C368" s="11"/>
      <c r="I368" s="11"/>
    </row>
    <row r="369" spans="3:9" ht="15.75" customHeight="1" x14ac:dyDescent="0.25">
      <c r="C369" s="11"/>
      <c r="I369" s="11"/>
    </row>
    <row r="370" spans="3:9" ht="15.75" customHeight="1" x14ac:dyDescent="0.25">
      <c r="C370" s="11"/>
      <c r="I370" s="11"/>
    </row>
    <row r="371" spans="3:9" ht="15.75" customHeight="1" x14ac:dyDescent="0.25">
      <c r="C371" s="11"/>
      <c r="I371" s="11"/>
    </row>
    <row r="372" spans="3:9" ht="15.75" customHeight="1" x14ac:dyDescent="0.25">
      <c r="C372" s="11"/>
      <c r="I372" s="11"/>
    </row>
    <row r="373" spans="3:9" ht="15.75" customHeight="1" x14ac:dyDescent="0.25">
      <c r="C373" s="11"/>
      <c r="I373" s="11"/>
    </row>
    <row r="374" spans="3:9" ht="15.75" customHeight="1" x14ac:dyDescent="0.25">
      <c r="C374" s="11"/>
      <c r="I374" s="11"/>
    </row>
    <row r="375" spans="3:9" ht="15.75" customHeight="1" x14ac:dyDescent="0.25">
      <c r="C375" s="11"/>
      <c r="I375" s="11"/>
    </row>
    <row r="376" spans="3:9" ht="15.75" customHeight="1" x14ac:dyDescent="0.25">
      <c r="C376" s="11"/>
      <c r="I376" s="11"/>
    </row>
    <row r="377" spans="3:9" ht="15.75" customHeight="1" x14ac:dyDescent="0.25">
      <c r="C377" s="11"/>
      <c r="I377" s="11"/>
    </row>
    <row r="378" spans="3:9" ht="15.75" customHeight="1" x14ac:dyDescent="0.25">
      <c r="C378" s="11"/>
      <c r="I378" s="11"/>
    </row>
    <row r="379" spans="3:9" ht="15.75" customHeight="1" x14ac:dyDescent="0.25">
      <c r="C379" s="11"/>
      <c r="I379" s="11"/>
    </row>
    <row r="380" spans="3:9" ht="15.75" customHeight="1" x14ac:dyDescent="0.25">
      <c r="C380" s="11"/>
      <c r="I380" s="11"/>
    </row>
    <row r="381" spans="3:9" ht="15.75" customHeight="1" x14ac:dyDescent="0.25">
      <c r="C381" s="11"/>
      <c r="I381" s="11"/>
    </row>
    <row r="382" spans="3:9" ht="15.75" customHeight="1" x14ac:dyDescent="0.25">
      <c r="C382" s="11"/>
      <c r="I382" s="11"/>
    </row>
    <row r="383" spans="3:9" ht="15.75" customHeight="1" x14ac:dyDescent="0.25">
      <c r="C383" s="11"/>
      <c r="I383" s="11"/>
    </row>
    <row r="384" spans="3:9" ht="15.75" customHeight="1" x14ac:dyDescent="0.25">
      <c r="C384" s="11"/>
      <c r="I384" s="11"/>
    </row>
    <row r="385" spans="3:9" ht="15.75" customHeight="1" x14ac:dyDescent="0.25">
      <c r="C385" s="11"/>
      <c r="I385" s="11"/>
    </row>
    <row r="386" spans="3:9" ht="15.75" customHeight="1" x14ac:dyDescent="0.25">
      <c r="C386" s="11"/>
      <c r="I386" s="11"/>
    </row>
    <row r="387" spans="3:9" ht="15.75" customHeight="1" x14ac:dyDescent="0.25">
      <c r="C387" s="11"/>
      <c r="I387" s="11"/>
    </row>
    <row r="388" spans="3:9" ht="15.75" customHeight="1" x14ac:dyDescent="0.25">
      <c r="C388" s="11"/>
      <c r="I388" s="11"/>
    </row>
    <row r="389" spans="3:9" ht="15.75" customHeight="1" x14ac:dyDescent="0.25">
      <c r="C389" s="11"/>
      <c r="I389" s="11"/>
    </row>
    <row r="390" spans="3:9" ht="15.75" customHeight="1" x14ac:dyDescent="0.25">
      <c r="C390" s="11"/>
      <c r="I390" s="11"/>
    </row>
    <row r="391" spans="3:9" ht="15.75" customHeight="1" x14ac:dyDescent="0.25">
      <c r="C391" s="11"/>
      <c r="I391" s="11"/>
    </row>
    <row r="392" spans="3:9" ht="15.75" customHeight="1" x14ac:dyDescent="0.25">
      <c r="C392" s="11"/>
      <c r="I392" s="11"/>
    </row>
    <row r="393" spans="3:9" ht="15.75" customHeight="1" x14ac:dyDescent="0.25">
      <c r="C393" s="11"/>
      <c r="I393" s="11"/>
    </row>
    <row r="394" spans="3:9" ht="15.75" customHeight="1" x14ac:dyDescent="0.25">
      <c r="C394" s="11"/>
      <c r="I394" s="11"/>
    </row>
    <row r="395" spans="3:9" ht="15.75" customHeight="1" x14ac:dyDescent="0.25">
      <c r="C395" s="11"/>
      <c r="I395" s="11"/>
    </row>
    <row r="396" spans="3:9" ht="15.75" customHeight="1" x14ac:dyDescent="0.25">
      <c r="C396" s="11"/>
      <c r="I396" s="11"/>
    </row>
    <row r="397" spans="3:9" ht="15.75" customHeight="1" x14ac:dyDescent="0.25">
      <c r="C397" s="11"/>
      <c r="I397" s="11"/>
    </row>
    <row r="398" spans="3:9" ht="15.75" customHeight="1" x14ac:dyDescent="0.25">
      <c r="C398" s="11"/>
      <c r="I398" s="11"/>
    </row>
    <row r="399" spans="3:9" ht="15.75" customHeight="1" x14ac:dyDescent="0.25">
      <c r="C399" s="11"/>
      <c r="I399" s="11"/>
    </row>
    <row r="400" spans="3:9" ht="15.75" customHeight="1" x14ac:dyDescent="0.25">
      <c r="C400" s="11"/>
      <c r="I400" s="11"/>
    </row>
    <row r="401" spans="3:9" ht="15.75" customHeight="1" x14ac:dyDescent="0.25">
      <c r="C401" s="11"/>
      <c r="I401" s="11"/>
    </row>
    <row r="402" spans="3:9" ht="15.75" customHeight="1" x14ac:dyDescent="0.25">
      <c r="C402" s="11"/>
      <c r="I402" s="11"/>
    </row>
    <row r="403" spans="3:9" ht="15.75" customHeight="1" x14ac:dyDescent="0.25">
      <c r="C403" s="11"/>
      <c r="I403" s="11"/>
    </row>
    <row r="404" spans="3:9" ht="15.75" customHeight="1" x14ac:dyDescent="0.25">
      <c r="C404" s="11"/>
      <c r="I404" s="11"/>
    </row>
    <row r="405" spans="3:9" ht="15.75" customHeight="1" x14ac:dyDescent="0.25">
      <c r="C405" s="11"/>
      <c r="I405" s="11"/>
    </row>
    <row r="406" spans="3:9" ht="15.75" customHeight="1" x14ac:dyDescent="0.25">
      <c r="C406" s="11"/>
      <c r="I406" s="11"/>
    </row>
    <row r="407" spans="3:9" ht="15.75" customHeight="1" x14ac:dyDescent="0.25">
      <c r="C407" s="11"/>
      <c r="I407" s="11"/>
    </row>
    <row r="408" spans="3:9" ht="15.75" customHeight="1" x14ac:dyDescent="0.25">
      <c r="C408" s="11"/>
      <c r="I408" s="11"/>
    </row>
    <row r="409" spans="3:9" ht="15.75" customHeight="1" x14ac:dyDescent="0.25">
      <c r="C409" s="11"/>
      <c r="I409" s="11"/>
    </row>
    <row r="410" spans="3:9" ht="15.75" customHeight="1" x14ac:dyDescent="0.25">
      <c r="C410" s="11"/>
      <c r="I410" s="11"/>
    </row>
    <row r="411" spans="3:9" ht="15.75" customHeight="1" x14ac:dyDescent="0.25">
      <c r="C411" s="11"/>
      <c r="I411" s="11"/>
    </row>
    <row r="412" spans="3:9" ht="15.75" customHeight="1" x14ac:dyDescent="0.25">
      <c r="C412" s="11"/>
      <c r="I412" s="11"/>
    </row>
    <row r="413" spans="3:9" ht="15.75" customHeight="1" x14ac:dyDescent="0.25">
      <c r="C413" s="11"/>
      <c r="I413" s="11"/>
    </row>
    <row r="414" spans="3:9" ht="15.75" customHeight="1" x14ac:dyDescent="0.25">
      <c r="C414" s="11"/>
      <c r="I414" s="11"/>
    </row>
    <row r="415" spans="3:9" ht="15.75" customHeight="1" x14ac:dyDescent="0.25">
      <c r="C415" s="11"/>
      <c r="I415" s="11"/>
    </row>
    <row r="416" spans="3:9" ht="15.75" customHeight="1" x14ac:dyDescent="0.25">
      <c r="C416" s="11"/>
      <c r="I416" s="11"/>
    </row>
    <row r="417" spans="3:9" ht="15.75" customHeight="1" x14ac:dyDescent="0.25">
      <c r="C417" s="11"/>
      <c r="I417" s="11"/>
    </row>
    <row r="418" spans="3:9" ht="15.75" customHeight="1" x14ac:dyDescent="0.25">
      <c r="C418" s="11"/>
      <c r="I418" s="11"/>
    </row>
    <row r="419" spans="3:9" ht="15.75" customHeight="1" x14ac:dyDescent="0.25">
      <c r="C419" s="11"/>
      <c r="I419" s="11"/>
    </row>
    <row r="420" spans="3:9" ht="15.75" customHeight="1" x14ac:dyDescent="0.25">
      <c r="C420" s="11"/>
      <c r="I420" s="11"/>
    </row>
    <row r="421" spans="3:9" ht="15.75" customHeight="1" x14ac:dyDescent="0.25">
      <c r="C421" s="11"/>
      <c r="I421" s="11"/>
    </row>
    <row r="422" spans="3:9" ht="15.75" customHeight="1" x14ac:dyDescent="0.25">
      <c r="C422" s="11"/>
      <c r="I422" s="11"/>
    </row>
    <row r="423" spans="3:9" ht="15.75" customHeight="1" x14ac:dyDescent="0.25">
      <c r="C423" s="11"/>
      <c r="I423" s="11"/>
    </row>
    <row r="424" spans="3:9" ht="15.75" customHeight="1" x14ac:dyDescent="0.25">
      <c r="C424" s="11"/>
      <c r="I424" s="11"/>
    </row>
    <row r="425" spans="3:9" ht="15.75" customHeight="1" x14ac:dyDescent="0.25">
      <c r="C425" s="11"/>
      <c r="I425" s="11"/>
    </row>
    <row r="426" spans="3:9" ht="15.75" customHeight="1" x14ac:dyDescent="0.25">
      <c r="C426" s="11"/>
      <c r="I426" s="11"/>
    </row>
    <row r="427" spans="3:9" ht="15.75" customHeight="1" x14ac:dyDescent="0.25">
      <c r="C427" s="11"/>
      <c r="I427" s="11"/>
    </row>
    <row r="428" spans="3:9" ht="15.75" customHeight="1" x14ac:dyDescent="0.25">
      <c r="C428" s="11"/>
      <c r="I428" s="11"/>
    </row>
    <row r="429" spans="3:9" ht="15.75" customHeight="1" x14ac:dyDescent="0.25">
      <c r="C429" s="11"/>
      <c r="I429" s="11"/>
    </row>
    <row r="430" spans="3:9" ht="15.75" customHeight="1" x14ac:dyDescent="0.25">
      <c r="C430" s="11"/>
      <c r="I430" s="11"/>
    </row>
    <row r="431" spans="3:9" ht="15.75" customHeight="1" x14ac:dyDescent="0.25">
      <c r="C431" s="11"/>
      <c r="I431" s="11"/>
    </row>
    <row r="432" spans="3:9" ht="15.75" customHeight="1" x14ac:dyDescent="0.25">
      <c r="C432" s="11"/>
      <c r="I432" s="11"/>
    </row>
    <row r="433" spans="3:9" ht="15.75" customHeight="1" x14ac:dyDescent="0.25">
      <c r="C433" s="11"/>
      <c r="I433" s="11"/>
    </row>
    <row r="434" spans="3:9" ht="15.75" customHeight="1" x14ac:dyDescent="0.25">
      <c r="C434" s="11"/>
      <c r="I434" s="11"/>
    </row>
    <row r="435" spans="3:9" ht="15.75" customHeight="1" x14ac:dyDescent="0.25">
      <c r="C435" s="11"/>
      <c r="I435" s="11"/>
    </row>
    <row r="436" spans="3:9" ht="15.75" customHeight="1" x14ac:dyDescent="0.25">
      <c r="C436" s="11"/>
      <c r="I436" s="11"/>
    </row>
    <row r="437" spans="3:9" ht="15.75" customHeight="1" x14ac:dyDescent="0.25">
      <c r="C437" s="11"/>
      <c r="I437" s="11"/>
    </row>
    <row r="438" spans="3:9" ht="15.75" customHeight="1" x14ac:dyDescent="0.25">
      <c r="C438" s="11"/>
      <c r="I438" s="11"/>
    </row>
    <row r="439" spans="3:9" ht="15.75" customHeight="1" x14ac:dyDescent="0.25">
      <c r="C439" s="11"/>
      <c r="I439" s="11"/>
    </row>
    <row r="440" spans="3:9" ht="15.75" customHeight="1" x14ac:dyDescent="0.25">
      <c r="C440" s="11"/>
      <c r="I440" s="11"/>
    </row>
    <row r="441" spans="3:9" ht="15.75" customHeight="1" x14ac:dyDescent="0.25">
      <c r="C441" s="11"/>
      <c r="I441" s="11"/>
    </row>
    <row r="442" spans="3:9" ht="15.75" customHeight="1" x14ac:dyDescent="0.25">
      <c r="C442" s="11"/>
      <c r="I442" s="11"/>
    </row>
    <row r="443" spans="3:9" ht="15.75" customHeight="1" x14ac:dyDescent="0.25">
      <c r="C443" s="11"/>
      <c r="I443" s="11"/>
    </row>
    <row r="444" spans="3:9" ht="15.75" customHeight="1" x14ac:dyDescent="0.25">
      <c r="C444" s="11"/>
      <c r="I444" s="11"/>
    </row>
    <row r="445" spans="3:9" ht="15.75" customHeight="1" x14ac:dyDescent="0.25">
      <c r="C445" s="11"/>
      <c r="I445" s="11"/>
    </row>
    <row r="446" spans="3:9" ht="15.75" customHeight="1" x14ac:dyDescent="0.25">
      <c r="C446" s="11"/>
      <c r="I446" s="11"/>
    </row>
    <row r="447" spans="3:9" ht="15.75" customHeight="1" x14ac:dyDescent="0.25">
      <c r="C447" s="11"/>
      <c r="I447" s="11"/>
    </row>
    <row r="448" spans="3:9" ht="15.75" customHeight="1" x14ac:dyDescent="0.25">
      <c r="C448" s="11"/>
      <c r="I448" s="11"/>
    </row>
    <row r="449" spans="3:9" ht="15.75" customHeight="1" x14ac:dyDescent="0.25">
      <c r="C449" s="11"/>
      <c r="I449" s="11"/>
    </row>
    <row r="450" spans="3:9" ht="15.75" customHeight="1" x14ac:dyDescent="0.25">
      <c r="C450" s="11"/>
      <c r="I450" s="11"/>
    </row>
    <row r="451" spans="3:9" ht="15.75" customHeight="1" x14ac:dyDescent="0.25">
      <c r="C451" s="11"/>
      <c r="I451" s="11"/>
    </row>
    <row r="452" spans="3:9" ht="15.75" customHeight="1" x14ac:dyDescent="0.25">
      <c r="C452" s="11"/>
      <c r="I452" s="11"/>
    </row>
    <row r="453" spans="3:9" ht="15.75" customHeight="1" x14ac:dyDescent="0.25">
      <c r="C453" s="11"/>
      <c r="I453" s="11"/>
    </row>
    <row r="454" spans="3:9" ht="15.75" customHeight="1" x14ac:dyDescent="0.25">
      <c r="C454" s="11"/>
      <c r="I454" s="11"/>
    </row>
    <row r="455" spans="3:9" ht="15.75" customHeight="1" x14ac:dyDescent="0.25">
      <c r="C455" s="11"/>
      <c r="I455" s="11"/>
    </row>
    <row r="456" spans="3:9" ht="15.75" customHeight="1" x14ac:dyDescent="0.25">
      <c r="C456" s="11"/>
      <c r="I456" s="11"/>
    </row>
    <row r="457" spans="3:9" ht="15.75" customHeight="1" x14ac:dyDescent="0.25">
      <c r="C457" s="11"/>
      <c r="I457" s="11"/>
    </row>
    <row r="458" spans="3:9" ht="15.75" customHeight="1" x14ac:dyDescent="0.25">
      <c r="C458" s="11"/>
      <c r="I458" s="11"/>
    </row>
    <row r="459" spans="3:9" ht="15.75" customHeight="1" x14ac:dyDescent="0.25">
      <c r="C459" s="11"/>
      <c r="I459" s="11"/>
    </row>
    <row r="460" spans="3:9" ht="15.75" customHeight="1" x14ac:dyDescent="0.25">
      <c r="C460" s="11"/>
      <c r="I460" s="11"/>
    </row>
    <row r="461" spans="3:9" ht="15.75" customHeight="1" x14ac:dyDescent="0.25">
      <c r="C461" s="11"/>
      <c r="I461" s="11"/>
    </row>
    <row r="462" spans="3:9" ht="15.75" customHeight="1" x14ac:dyDescent="0.25">
      <c r="C462" s="11"/>
      <c r="I462" s="11"/>
    </row>
    <row r="463" spans="3:9" ht="15.75" customHeight="1" x14ac:dyDescent="0.25">
      <c r="C463" s="11"/>
      <c r="I463" s="11"/>
    </row>
    <row r="464" spans="3:9" ht="15.75" customHeight="1" x14ac:dyDescent="0.25">
      <c r="C464" s="11"/>
      <c r="I464" s="11"/>
    </row>
    <row r="465" spans="3:9" ht="15.75" customHeight="1" x14ac:dyDescent="0.25">
      <c r="C465" s="11"/>
      <c r="I465" s="11"/>
    </row>
    <row r="466" spans="3:9" ht="15.75" customHeight="1" x14ac:dyDescent="0.25">
      <c r="C466" s="11"/>
      <c r="I466" s="11"/>
    </row>
    <row r="467" spans="3:9" ht="15.75" customHeight="1" x14ac:dyDescent="0.25">
      <c r="C467" s="11"/>
      <c r="I467" s="11"/>
    </row>
    <row r="468" spans="3:9" ht="15.75" customHeight="1" x14ac:dyDescent="0.25">
      <c r="C468" s="11"/>
      <c r="I468" s="11"/>
    </row>
    <row r="469" spans="3:9" ht="15.75" customHeight="1" x14ac:dyDescent="0.25">
      <c r="C469" s="11"/>
      <c r="I469" s="11"/>
    </row>
    <row r="470" spans="3:9" ht="15.75" customHeight="1" x14ac:dyDescent="0.25">
      <c r="C470" s="11"/>
      <c r="I470" s="11"/>
    </row>
    <row r="471" spans="3:9" ht="15.75" customHeight="1" x14ac:dyDescent="0.25">
      <c r="C471" s="11"/>
      <c r="I471" s="11"/>
    </row>
    <row r="472" spans="3:9" ht="15.75" customHeight="1" x14ac:dyDescent="0.25">
      <c r="C472" s="11"/>
      <c r="I472" s="11"/>
    </row>
    <row r="473" spans="3:9" ht="15.75" customHeight="1" x14ac:dyDescent="0.25">
      <c r="C473" s="11"/>
      <c r="I473" s="11"/>
    </row>
    <row r="474" spans="3:9" ht="15.75" customHeight="1" x14ac:dyDescent="0.25">
      <c r="C474" s="11"/>
      <c r="I474" s="11"/>
    </row>
    <row r="475" spans="3:9" ht="15.75" customHeight="1" x14ac:dyDescent="0.25">
      <c r="C475" s="11"/>
      <c r="I475" s="11"/>
    </row>
    <row r="476" spans="3:9" ht="15.75" customHeight="1" x14ac:dyDescent="0.25">
      <c r="C476" s="11"/>
      <c r="I476" s="11"/>
    </row>
    <row r="477" spans="3:9" ht="15.75" customHeight="1" x14ac:dyDescent="0.25">
      <c r="C477" s="11"/>
      <c r="I477" s="11"/>
    </row>
    <row r="478" spans="3:9" ht="15.75" customHeight="1" x14ac:dyDescent="0.25">
      <c r="C478" s="11"/>
      <c r="I478" s="11"/>
    </row>
    <row r="479" spans="3:9" ht="15.75" customHeight="1" x14ac:dyDescent="0.25">
      <c r="C479" s="11"/>
      <c r="I479" s="11"/>
    </row>
    <row r="480" spans="3:9" ht="15.75" customHeight="1" x14ac:dyDescent="0.25">
      <c r="C480" s="11"/>
      <c r="I480" s="11"/>
    </row>
    <row r="481" spans="3:9" ht="15.75" customHeight="1" x14ac:dyDescent="0.25">
      <c r="C481" s="11"/>
      <c r="I481" s="11"/>
    </row>
    <row r="482" spans="3:9" ht="15.75" customHeight="1" x14ac:dyDescent="0.25">
      <c r="C482" s="11"/>
      <c r="I482" s="11"/>
    </row>
    <row r="483" spans="3:9" ht="15.75" customHeight="1" x14ac:dyDescent="0.25">
      <c r="C483" s="11"/>
      <c r="I483" s="11"/>
    </row>
    <row r="484" spans="3:9" ht="15.75" customHeight="1" x14ac:dyDescent="0.25">
      <c r="C484" s="11"/>
      <c r="I484" s="11"/>
    </row>
    <row r="485" spans="3:9" ht="15.75" customHeight="1" x14ac:dyDescent="0.25">
      <c r="C485" s="11"/>
      <c r="I485" s="11"/>
    </row>
    <row r="486" spans="3:9" ht="15.75" customHeight="1" x14ac:dyDescent="0.25">
      <c r="C486" s="11"/>
      <c r="I486" s="11"/>
    </row>
    <row r="487" spans="3:9" ht="15.75" customHeight="1" x14ac:dyDescent="0.25">
      <c r="C487" s="11"/>
      <c r="I487" s="11"/>
    </row>
    <row r="488" spans="3:9" ht="15.75" customHeight="1" x14ac:dyDescent="0.25">
      <c r="C488" s="11"/>
      <c r="I488" s="11"/>
    </row>
    <row r="489" spans="3:9" ht="15.75" customHeight="1" x14ac:dyDescent="0.25">
      <c r="C489" s="11"/>
      <c r="I489" s="11"/>
    </row>
    <row r="490" spans="3:9" ht="15.75" customHeight="1" x14ac:dyDescent="0.25">
      <c r="C490" s="11"/>
      <c r="I490" s="11"/>
    </row>
    <row r="491" spans="3:9" ht="15.75" customHeight="1" x14ac:dyDescent="0.25">
      <c r="C491" s="11"/>
      <c r="I491" s="11"/>
    </row>
    <row r="492" spans="3:9" ht="15.75" customHeight="1" x14ac:dyDescent="0.25">
      <c r="C492" s="11"/>
      <c r="I492" s="11"/>
    </row>
    <row r="493" spans="3:9" ht="15.75" customHeight="1" x14ac:dyDescent="0.25">
      <c r="C493" s="11"/>
      <c r="I493" s="11"/>
    </row>
    <row r="494" spans="3:9" ht="15.75" customHeight="1" x14ac:dyDescent="0.25">
      <c r="C494" s="11"/>
      <c r="I494" s="11"/>
    </row>
    <row r="495" spans="3:9" ht="15.75" customHeight="1" x14ac:dyDescent="0.25">
      <c r="C495" s="11"/>
      <c r="I495" s="11"/>
    </row>
    <row r="496" spans="3:9" ht="15.75" customHeight="1" x14ac:dyDescent="0.25">
      <c r="C496" s="11"/>
      <c r="I496" s="11"/>
    </row>
    <row r="497" spans="3:9" ht="15.75" customHeight="1" x14ac:dyDescent="0.25">
      <c r="C497" s="11"/>
      <c r="I497" s="11"/>
    </row>
    <row r="498" spans="3:9" ht="15.75" customHeight="1" x14ac:dyDescent="0.25">
      <c r="C498" s="11"/>
      <c r="I498" s="11"/>
    </row>
    <row r="499" spans="3:9" ht="15.75" customHeight="1" x14ac:dyDescent="0.25">
      <c r="C499" s="11"/>
      <c r="I499" s="11"/>
    </row>
    <row r="500" spans="3:9" ht="15.75" customHeight="1" x14ac:dyDescent="0.25">
      <c r="C500" s="11"/>
      <c r="I500" s="11"/>
    </row>
    <row r="501" spans="3:9" ht="15.75" customHeight="1" x14ac:dyDescent="0.25">
      <c r="C501" s="11"/>
      <c r="I501" s="11"/>
    </row>
    <row r="502" spans="3:9" ht="15.75" customHeight="1" x14ac:dyDescent="0.25">
      <c r="C502" s="11"/>
      <c r="I502" s="11"/>
    </row>
    <row r="503" spans="3:9" ht="15.75" customHeight="1" x14ac:dyDescent="0.25">
      <c r="C503" s="11"/>
      <c r="I503" s="11"/>
    </row>
    <row r="504" spans="3:9" ht="15.75" customHeight="1" x14ac:dyDescent="0.25">
      <c r="C504" s="11"/>
      <c r="I504" s="11"/>
    </row>
    <row r="505" spans="3:9" ht="15.75" customHeight="1" x14ac:dyDescent="0.25">
      <c r="C505" s="11"/>
      <c r="I505" s="11"/>
    </row>
    <row r="506" spans="3:9" ht="15.75" customHeight="1" x14ac:dyDescent="0.25">
      <c r="C506" s="11"/>
      <c r="I506" s="11"/>
    </row>
    <row r="507" spans="3:9" ht="15.75" customHeight="1" x14ac:dyDescent="0.25">
      <c r="C507" s="11"/>
      <c r="I507" s="11"/>
    </row>
    <row r="508" spans="3:9" ht="15.75" customHeight="1" x14ac:dyDescent="0.25">
      <c r="C508" s="11"/>
      <c r="I508" s="11"/>
    </row>
    <row r="509" spans="3:9" ht="15.75" customHeight="1" x14ac:dyDescent="0.25">
      <c r="C509" s="11"/>
      <c r="I509" s="11"/>
    </row>
    <row r="510" spans="3:9" ht="15.75" customHeight="1" x14ac:dyDescent="0.25">
      <c r="C510" s="11"/>
      <c r="I510" s="11"/>
    </row>
    <row r="511" spans="3:9" ht="15.75" customHeight="1" x14ac:dyDescent="0.25">
      <c r="C511" s="11"/>
      <c r="I511" s="11"/>
    </row>
    <row r="512" spans="3:9" ht="15.75" customHeight="1" x14ac:dyDescent="0.25">
      <c r="C512" s="11"/>
      <c r="I512" s="11"/>
    </row>
    <row r="513" spans="3:9" ht="15.75" customHeight="1" x14ac:dyDescent="0.25">
      <c r="C513" s="11"/>
      <c r="I513" s="11"/>
    </row>
    <row r="514" spans="3:9" ht="15.75" customHeight="1" x14ac:dyDescent="0.25">
      <c r="C514" s="11"/>
      <c r="I514" s="11"/>
    </row>
    <row r="515" spans="3:9" ht="15.75" customHeight="1" x14ac:dyDescent="0.25">
      <c r="C515" s="11"/>
      <c r="I515" s="11"/>
    </row>
    <row r="516" spans="3:9" ht="15.75" customHeight="1" x14ac:dyDescent="0.25">
      <c r="C516" s="11"/>
      <c r="I516" s="11"/>
    </row>
    <row r="517" spans="3:9" ht="15.75" customHeight="1" x14ac:dyDescent="0.25">
      <c r="C517" s="11"/>
      <c r="I517" s="11"/>
    </row>
    <row r="518" spans="3:9" ht="15.75" customHeight="1" x14ac:dyDescent="0.25">
      <c r="C518" s="11"/>
      <c r="I518" s="11"/>
    </row>
    <row r="519" spans="3:9" ht="15.75" customHeight="1" x14ac:dyDescent="0.25">
      <c r="C519" s="11"/>
      <c r="I519" s="11"/>
    </row>
    <row r="520" spans="3:9" ht="15.75" customHeight="1" x14ac:dyDescent="0.25">
      <c r="C520" s="11"/>
      <c r="I520" s="11"/>
    </row>
    <row r="521" spans="3:9" ht="15.75" customHeight="1" x14ac:dyDescent="0.25">
      <c r="C521" s="11"/>
      <c r="I521" s="11"/>
    </row>
    <row r="522" spans="3:9" ht="15.75" customHeight="1" x14ac:dyDescent="0.25">
      <c r="C522" s="11"/>
      <c r="I522" s="11"/>
    </row>
    <row r="523" spans="3:9" ht="15.75" customHeight="1" x14ac:dyDescent="0.25">
      <c r="C523" s="11"/>
      <c r="I523" s="11"/>
    </row>
    <row r="524" spans="3:9" ht="15.75" customHeight="1" x14ac:dyDescent="0.25">
      <c r="C524" s="11"/>
      <c r="I524" s="11"/>
    </row>
    <row r="525" spans="3:9" ht="15.75" customHeight="1" x14ac:dyDescent="0.25">
      <c r="C525" s="11"/>
      <c r="I525" s="11"/>
    </row>
    <row r="526" spans="3:9" ht="15.75" customHeight="1" x14ac:dyDescent="0.25">
      <c r="C526" s="11"/>
      <c r="I526" s="11"/>
    </row>
    <row r="527" spans="3:9" ht="15.75" customHeight="1" x14ac:dyDescent="0.25">
      <c r="C527" s="11"/>
      <c r="I527" s="11"/>
    </row>
    <row r="528" spans="3:9" ht="15.75" customHeight="1" x14ac:dyDescent="0.25">
      <c r="C528" s="11"/>
      <c r="I528" s="11"/>
    </row>
    <row r="529" spans="3:9" ht="15.75" customHeight="1" x14ac:dyDescent="0.25">
      <c r="C529" s="11"/>
      <c r="I529" s="11"/>
    </row>
    <row r="530" spans="3:9" ht="15.75" customHeight="1" x14ac:dyDescent="0.25">
      <c r="C530" s="11"/>
      <c r="I530" s="11"/>
    </row>
    <row r="531" spans="3:9" ht="15.75" customHeight="1" x14ac:dyDescent="0.25">
      <c r="C531" s="11"/>
      <c r="I531" s="11"/>
    </row>
    <row r="532" spans="3:9" ht="15.75" customHeight="1" x14ac:dyDescent="0.25">
      <c r="C532" s="11"/>
      <c r="I532" s="11"/>
    </row>
    <row r="533" spans="3:9" ht="15.75" customHeight="1" x14ac:dyDescent="0.25">
      <c r="C533" s="11"/>
      <c r="I533" s="11"/>
    </row>
    <row r="534" spans="3:9" ht="15.75" customHeight="1" x14ac:dyDescent="0.25">
      <c r="C534" s="11"/>
      <c r="I534" s="11"/>
    </row>
    <row r="535" spans="3:9" ht="15.75" customHeight="1" x14ac:dyDescent="0.25">
      <c r="C535" s="11"/>
      <c r="I535" s="11"/>
    </row>
    <row r="536" spans="3:9" ht="15.75" customHeight="1" x14ac:dyDescent="0.25">
      <c r="C536" s="11"/>
      <c r="I536" s="11"/>
    </row>
    <row r="537" spans="3:9" ht="15.75" customHeight="1" x14ac:dyDescent="0.25">
      <c r="C537" s="11"/>
      <c r="I537" s="11"/>
    </row>
    <row r="538" spans="3:9" ht="15.75" customHeight="1" x14ac:dyDescent="0.25">
      <c r="C538" s="11"/>
      <c r="I538" s="11"/>
    </row>
    <row r="539" spans="3:9" ht="15.75" customHeight="1" x14ac:dyDescent="0.25">
      <c r="C539" s="11"/>
      <c r="I539" s="11"/>
    </row>
    <row r="540" spans="3:9" ht="15.75" customHeight="1" x14ac:dyDescent="0.25">
      <c r="C540" s="11"/>
      <c r="I540" s="11"/>
    </row>
    <row r="541" spans="3:9" ht="15.75" customHeight="1" x14ac:dyDescent="0.25">
      <c r="C541" s="11"/>
      <c r="I541" s="11"/>
    </row>
    <row r="542" spans="3:9" ht="15.75" customHeight="1" x14ac:dyDescent="0.25">
      <c r="C542" s="11"/>
      <c r="I542" s="11"/>
    </row>
    <row r="543" spans="3:9" ht="15.75" customHeight="1" x14ac:dyDescent="0.25">
      <c r="C543" s="11"/>
      <c r="I543" s="11"/>
    </row>
    <row r="544" spans="3:9" ht="15.75" customHeight="1" x14ac:dyDescent="0.25">
      <c r="C544" s="11"/>
      <c r="I544" s="11"/>
    </row>
    <row r="545" spans="3:9" ht="15.75" customHeight="1" x14ac:dyDescent="0.25">
      <c r="C545" s="11"/>
      <c r="I545" s="11"/>
    </row>
    <row r="546" spans="3:9" ht="15.75" customHeight="1" x14ac:dyDescent="0.25">
      <c r="C546" s="11"/>
      <c r="I546" s="11"/>
    </row>
    <row r="547" spans="3:9" ht="15.75" customHeight="1" x14ac:dyDescent="0.25">
      <c r="C547" s="11"/>
      <c r="I547" s="11"/>
    </row>
    <row r="548" spans="3:9" ht="15.75" customHeight="1" x14ac:dyDescent="0.25">
      <c r="C548" s="11"/>
      <c r="I548" s="11"/>
    </row>
    <row r="549" spans="3:9" ht="15.75" customHeight="1" x14ac:dyDescent="0.25">
      <c r="C549" s="11"/>
      <c r="I549" s="11"/>
    </row>
    <row r="550" spans="3:9" ht="15.75" customHeight="1" x14ac:dyDescent="0.25">
      <c r="C550" s="11"/>
      <c r="I550" s="11"/>
    </row>
    <row r="551" spans="3:9" ht="15.75" customHeight="1" x14ac:dyDescent="0.25">
      <c r="C551" s="11"/>
      <c r="I551" s="11"/>
    </row>
    <row r="552" spans="3:9" ht="15.75" customHeight="1" x14ac:dyDescent="0.25">
      <c r="C552" s="11"/>
      <c r="I552" s="11"/>
    </row>
    <row r="553" spans="3:9" ht="15.75" customHeight="1" x14ac:dyDescent="0.25">
      <c r="C553" s="11"/>
      <c r="I553" s="11"/>
    </row>
    <row r="554" spans="3:9" ht="15.75" customHeight="1" x14ac:dyDescent="0.25">
      <c r="C554" s="11"/>
      <c r="I554" s="11"/>
    </row>
    <row r="555" spans="3:9" ht="15.75" customHeight="1" x14ac:dyDescent="0.25">
      <c r="C555" s="11"/>
      <c r="I555" s="11"/>
    </row>
    <row r="556" spans="3:9" ht="15.75" customHeight="1" x14ac:dyDescent="0.25">
      <c r="C556" s="11"/>
      <c r="I556" s="11"/>
    </row>
    <row r="557" spans="3:9" ht="15.75" customHeight="1" x14ac:dyDescent="0.25">
      <c r="C557" s="11"/>
      <c r="I557" s="11"/>
    </row>
    <row r="558" spans="3:9" ht="15.75" customHeight="1" x14ac:dyDescent="0.25">
      <c r="C558" s="11"/>
      <c r="I558" s="11"/>
    </row>
    <row r="559" spans="3:9" ht="15.75" customHeight="1" x14ac:dyDescent="0.25">
      <c r="C559" s="11"/>
      <c r="I559" s="11"/>
    </row>
    <row r="560" spans="3:9" ht="15.75" customHeight="1" x14ac:dyDescent="0.25">
      <c r="C560" s="11"/>
      <c r="I560" s="11"/>
    </row>
    <row r="561" spans="3:9" ht="15.75" customHeight="1" x14ac:dyDescent="0.25">
      <c r="C561" s="11"/>
      <c r="I561" s="11"/>
    </row>
    <row r="562" spans="3:9" ht="15.75" customHeight="1" x14ac:dyDescent="0.25">
      <c r="C562" s="11"/>
      <c r="I562" s="11"/>
    </row>
    <row r="563" spans="3:9" ht="15.75" customHeight="1" x14ac:dyDescent="0.25">
      <c r="C563" s="11"/>
      <c r="I563" s="11"/>
    </row>
    <row r="564" spans="3:9" ht="15.75" customHeight="1" x14ac:dyDescent="0.25">
      <c r="C564" s="11"/>
      <c r="I564" s="11"/>
    </row>
    <row r="565" spans="3:9" ht="15.75" customHeight="1" x14ac:dyDescent="0.25">
      <c r="C565" s="11"/>
      <c r="I565" s="11"/>
    </row>
    <row r="566" spans="3:9" ht="15.75" customHeight="1" x14ac:dyDescent="0.25">
      <c r="C566" s="11"/>
      <c r="I566" s="11"/>
    </row>
    <row r="567" spans="3:9" ht="15.75" customHeight="1" x14ac:dyDescent="0.25">
      <c r="C567" s="11"/>
      <c r="I567" s="11"/>
    </row>
    <row r="568" spans="3:9" ht="15.75" customHeight="1" x14ac:dyDescent="0.25">
      <c r="C568" s="11"/>
      <c r="I568" s="11"/>
    </row>
    <row r="569" spans="3:9" ht="15.75" customHeight="1" x14ac:dyDescent="0.25">
      <c r="C569" s="11"/>
      <c r="I569" s="11"/>
    </row>
    <row r="570" spans="3:9" ht="15.75" customHeight="1" x14ac:dyDescent="0.25">
      <c r="C570" s="11"/>
      <c r="I570" s="11"/>
    </row>
    <row r="571" spans="3:9" ht="15.75" customHeight="1" x14ac:dyDescent="0.25">
      <c r="C571" s="11"/>
      <c r="I571" s="11"/>
    </row>
    <row r="572" spans="3:9" ht="15.75" customHeight="1" x14ac:dyDescent="0.25">
      <c r="C572" s="11"/>
      <c r="I572" s="11"/>
    </row>
    <row r="573" spans="3:9" ht="15.75" customHeight="1" x14ac:dyDescent="0.25">
      <c r="C573" s="11"/>
      <c r="I573" s="11"/>
    </row>
    <row r="574" spans="3:9" ht="15.75" customHeight="1" x14ac:dyDescent="0.25">
      <c r="C574" s="11"/>
      <c r="I574" s="11"/>
    </row>
    <row r="575" spans="3:9" ht="15.75" customHeight="1" x14ac:dyDescent="0.25">
      <c r="C575" s="11"/>
      <c r="I575" s="11"/>
    </row>
    <row r="576" spans="3:9" ht="15.75" customHeight="1" x14ac:dyDescent="0.25">
      <c r="C576" s="11"/>
      <c r="I576" s="11"/>
    </row>
    <row r="577" spans="3:9" ht="15.75" customHeight="1" x14ac:dyDescent="0.25">
      <c r="C577" s="11"/>
      <c r="I577" s="11"/>
    </row>
    <row r="578" spans="3:9" ht="15.75" customHeight="1" x14ac:dyDescent="0.25">
      <c r="C578" s="11"/>
      <c r="I578" s="11"/>
    </row>
    <row r="579" spans="3:9" ht="15.75" customHeight="1" x14ac:dyDescent="0.25">
      <c r="C579" s="11"/>
      <c r="I579" s="11"/>
    </row>
    <row r="580" spans="3:9" ht="15.75" customHeight="1" x14ac:dyDescent="0.25">
      <c r="C580" s="11"/>
      <c r="I580" s="11"/>
    </row>
    <row r="581" spans="3:9" ht="15.75" customHeight="1" x14ac:dyDescent="0.25">
      <c r="C581" s="11"/>
      <c r="I581" s="11"/>
    </row>
    <row r="582" spans="3:9" ht="15.75" customHeight="1" x14ac:dyDescent="0.25">
      <c r="C582" s="11"/>
      <c r="I582" s="11"/>
    </row>
    <row r="583" spans="3:9" ht="15.75" customHeight="1" x14ac:dyDescent="0.25">
      <c r="C583" s="11"/>
      <c r="I583" s="11"/>
    </row>
    <row r="584" spans="3:9" ht="15.75" customHeight="1" x14ac:dyDescent="0.25">
      <c r="C584" s="11"/>
      <c r="I584" s="11"/>
    </row>
    <row r="585" spans="3:9" ht="15.75" customHeight="1" x14ac:dyDescent="0.25">
      <c r="C585" s="11"/>
      <c r="I585" s="11"/>
    </row>
    <row r="586" spans="3:9" ht="15.75" customHeight="1" x14ac:dyDescent="0.25">
      <c r="C586" s="11"/>
      <c r="I586" s="11"/>
    </row>
    <row r="587" spans="3:9" ht="15.75" customHeight="1" x14ac:dyDescent="0.25">
      <c r="C587" s="11"/>
      <c r="I587" s="11"/>
    </row>
    <row r="588" spans="3:9" ht="15.75" customHeight="1" x14ac:dyDescent="0.25">
      <c r="C588" s="11"/>
      <c r="I588" s="11"/>
    </row>
    <row r="589" spans="3:9" ht="15.75" customHeight="1" x14ac:dyDescent="0.25">
      <c r="C589" s="11"/>
      <c r="I589" s="11"/>
    </row>
    <row r="590" spans="3:9" ht="15.75" customHeight="1" x14ac:dyDescent="0.25">
      <c r="C590" s="11"/>
      <c r="I590" s="11"/>
    </row>
    <row r="591" spans="3:9" ht="15.75" customHeight="1" x14ac:dyDescent="0.25">
      <c r="C591" s="11"/>
      <c r="I591" s="11"/>
    </row>
    <row r="592" spans="3:9" ht="15.75" customHeight="1" x14ac:dyDescent="0.25">
      <c r="C592" s="11"/>
      <c r="I592" s="11"/>
    </row>
    <row r="593" spans="3:9" ht="15.75" customHeight="1" x14ac:dyDescent="0.25">
      <c r="C593" s="11"/>
      <c r="I593" s="11"/>
    </row>
    <row r="594" spans="3:9" ht="15.75" customHeight="1" x14ac:dyDescent="0.25">
      <c r="C594" s="11"/>
      <c r="I594" s="11"/>
    </row>
    <row r="595" spans="3:9" ht="15.75" customHeight="1" x14ac:dyDescent="0.25">
      <c r="C595" s="11"/>
      <c r="I595" s="11"/>
    </row>
    <row r="596" spans="3:9" ht="15.75" customHeight="1" x14ac:dyDescent="0.25">
      <c r="C596" s="11"/>
      <c r="I596" s="11"/>
    </row>
    <row r="597" spans="3:9" ht="15.75" customHeight="1" x14ac:dyDescent="0.25">
      <c r="C597" s="11"/>
      <c r="I597" s="11"/>
    </row>
    <row r="598" spans="3:9" ht="15.75" customHeight="1" x14ac:dyDescent="0.25">
      <c r="C598" s="11"/>
      <c r="I598" s="11"/>
    </row>
    <row r="599" spans="3:9" ht="15.75" customHeight="1" x14ac:dyDescent="0.25">
      <c r="C599" s="11"/>
      <c r="I599" s="11"/>
    </row>
    <row r="600" spans="3:9" ht="15.75" customHeight="1" x14ac:dyDescent="0.25">
      <c r="C600" s="11"/>
      <c r="I600" s="11"/>
    </row>
    <row r="601" spans="3:9" ht="15.75" customHeight="1" x14ac:dyDescent="0.25">
      <c r="C601" s="11"/>
      <c r="I601" s="11"/>
    </row>
    <row r="602" spans="3:9" ht="15.75" customHeight="1" x14ac:dyDescent="0.25">
      <c r="C602" s="11"/>
      <c r="I602" s="11"/>
    </row>
    <row r="603" spans="3:9" ht="15.75" customHeight="1" x14ac:dyDescent="0.25">
      <c r="C603" s="11"/>
      <c r="I603" s="11"/>
    </row>
    <row r="604" spans="3:9" ht="15.75" customHeight="1" x14ac:dyDescent="0.25">
      <c r="C604" s="11"/>
      <c r="I604" s="11"/>
    </row>
    <row r="605" spans="3:9" ht="15.75" customHeight="1" x14ac:dyDescent="0.25">
      <c r="C605" s="11"/>
      <c r="I605" s="11"/>
    </row>
    <row r="606" spans="3:9" ht="15.75" customHeight="1" x14ac:dyDescent="0.25">
      <c r="C606" s="11"/>
      <c r="I606" s="11"/>
    </row>
    <row r="607" spans="3:9" ht="15.75" customHeight="1" x14ac:dyDescent="0.25">
      <c r="C607" s="11"/>
      <c r="I607" s="11"/>
    </row>
    <row r="608" spans="3:9" ht="15.75" customHeight="1" x14ac:dyDescent="0.25">
      <c r="C608" s="11"/>
      <c r="I608" s="11"/>
    </row>
    <row r="609" spans="3:9" ht="15.75" customHeight="1" x14ac:dyDescent="0.25">
      <c r="C609" s="11"/>
      <c r="I609" s="11"/>
    </row>
    <row r="610" spans="3:9" ht="15.75" customHeight="1" x14ac:dyDescent="0.25">
      <c r="C610" s="11"/>
      <c r="I610" s="11"/>
    </row>
    <row r="611" spans="3:9" ht="15.75" customHeight="1" x14ac:dyDescent="0.25">
      <c r="C611" s="11"/>
      <c r="I611" s="11"/>
    </row>
    <row r="612" spans="3:9" ht="15.75" customHeight="1" x14ac:dyDescent="0.25">
      <c r="C612" s="11"/>
      <c r="I612" s="11"/>
    </row>
    <row r="613" spans="3:9" ht="15.75" customHeight="1" x14ac:dyDescent="0.25">
      <c r="C613" s="11"/>
      <c r="I613" s="11"/>
    </row>
    <row r="614" spans="3:9" ht="15.75" customHeight="1" x14ac:dyDescent="0.25">
      <c r="C614" s="11"/>
      <c r="I614" s="11"/>
    </row>
    <row r="615" spans="3:9" ht="15.75" customHeight="1" x14ac:dyDescent="0.25">
      <c r="C615" s="11"/>
      <c r="I615" s="11"/>
    </row>
    <row r="616" spans="3:9" ht="15.75" customHeight="1" x14ac:dyDescent="0.25">
      <c r="C616" s="11"/>
      <c r="I616" s="11"/>
    </row>
    <row r="617" spans="3:9" ht="15.75" customHeight="1" x14ac:dyDescent="0.25">
      <c r="C617" s="11"/>
      <c r="I617" s="11"/>
    </row>
    <row r="618" spans="3:9" ht="15.75" customHeight="1" x14ac:dyDescent="0.25">
      <c r="C618" s="11"/>
      <c r="I618" s="11"/>
    </row>
    <row r="619" spans="3:9" ht="15.75" customHeight="1" x14ac:dyDescent="0.25">
      <c r="C619" s="11"/>
      <c r="I619" s="11"/>
    </row>
    <row r="620" spans="3:9" ht="15.75" customHeight="1" x14ac:dyDescent="0.25">
      <c r="C620" s="11"/>
      <c r="I620" s="11"/>
    </row>
    <row r="621" spans="3:9" ht="15.75" customHeight="1" x14ac:dyDescent="0.25">
      <c r="C621" s="11"/>
      <c r="I621" s="11"/>
    </row>
    <row r="622" spans="3:9" ht="15.75" customHeight="1" x14ac:dyDescent="0.25">
      <c r="C622" s="11"/>
      <c r="I622" s="11"/>
    </row>
    <row r="623" spans="3:9" ht="15.75" customHeight="1" x14ac:dyDescent="0.25">
      <c r="C623" s="11"/>
      <c r="I623" s="11"/>
    </row>
    <row r="624" spans="3:9" ht="15.75" customHeight="1" x14ac:dyDescent="0.25">
      <c r="C624" s="11"/>
      <c r="I624" s="11"/>
    </row>
    <row r="625" spans="3:9" ht="15.75" customHeight="1" x14ac:dyDescent="0.25">
      <c r="C625" s="11"/>
      <c r="I625" s="11"/>
    </row>
    <row r="626" spans="3:9" ht="15.75" customHeight="1" x14ac:dyDescent="0.25">
      <c r="C626" s="11"/>
      <c r="I626" s="11"/>
    </row>
    <row r="627" spans="3:9" ht="15.75" customHeight="1" x14ac:dyDescent="0.25">
      <c r="C627" s="11"/>
      <c r="I627" s="11"/>
    </row>
    <row r="628" spans="3:9" ht="15.75" customHeight="1" x14ac:dyDescent="0.25">
      <c r="C628" s="11"/>
      <c r="I628" s="11"/>
    </row>
    <row r="629" spans="3:9" ht="15.75" customHeight="1" x14ac:dyDescent="0.25">
      <c r="C629" s="11"/>
      <c r="I629" s="11"/>
    </row>
    <row r="630" spans="3:9" ht="15.75" customHeight="1" x14ac:dyDescent="0.25">
      <c r="C630" s="11"/>
      <c r="I630" s="11"/>
    </row>
    <row r="631" spans="3:9" ht="15.75" customHeight="1" x14ac:dyDescent="0.25">
      <c r="C631" s="11"/>
      <c r="I631" s="11"/>
    </row>
    <row r="632" spans="3:9" ht="15.75" customHeight="1" x14ac:dyDescent="0.25">
      <c r="C632" s="11"/>
      <c r="I632" s="11"/>
    </row>
    <row r="633" spans="3:9" ht="15.75" customHeight="1" x14ac:dyDescent="0.25">
      <c r="C633" s="11"/>
      <c r="I633" s="11"/>
    </row>
    <row r="634" spans="3:9" ht="15.75" customHeight="1" x14ac:dyDescent="0.25">
      <c r="C634" s="11"/>
      <c r="I634" s="11"/>
    </row>
    <row r="635" spans="3:9" ht="15.75" customHeight="1" x14ac:dyDescent="0.25">
      <c r="C635" s="11"/>
      <c r="I635" s="11"/>
    </row>
    <row r="636" spans="3:9" ht="15.75" customHeight="1" x14ac:dyDescent="0.25">
      <c r="C636" s="11"/>
      <c r="I636" s="11"/>
    </row>
    <row r="637" spans="3:9" ht="15.75" customHeight="1" x14ac:dyDescent="0.25">
      <c r="C637" s="11"/>
      <c r="I637" s="11"/>
    </row>
    <row r="638" spans="3:9" ht="15.75" customHeight="1" x14ac:dyDescent="0.25">
      <c r="C638" s="11"/>
      <c r="I638" s="11"/>
    </row>
    <row r="639" spans="3:9" ht="15.75" customHeight="1" x14ac:dyDescent="0.25">
      <c r="C639" s="11"/>
      <c r="I639" s="11"/>
    </row>
    <row r="640" spans="3:9" ht="15.75" customHeight="1" x14ac:dyDescent="0.25">
      <c r="C640" s="11"/>
      <c r="I640" s="11"/>
    </row>
    <row r="641" spans="3:9" ht="15.75" customHeight="1" x14ac:dyDescent="0.25">
      <c r="C641" s="11"/>
      <c r="I641" s="11"/>
    </row>
    <row r="642" spans="3:9" ht="15.75" customHeight="1" x14ac:dyDescent="0.25">
      <c r="C642" s="11"/>
      <c r="I642" s="11"/>
    </row>
    <row r="643" spans="3:9" ht="15.75" customHeight="1" x14ac:dyDescent="0.25">
      <c r="C643" s="11"/>
      <c r="I643" s="11"/>
    </row>
    <row r="644" spans="3:9" ht="15.75" customHeight="1" x14ac:dyDescent="0.25">
      <c r="C644" s="11"/>
      <c r="I644" s="11"/>
    </row>
    <row r="645" spans="3:9" ht="15.75" customHeight="1" x14ac:dyDescent="0.25">
      <c r="C645" s="11"/>
      <c r="I645" s="11"/>
    </row>
    <row r="646" spans="3:9" ht="15.75" customHeight="1" x14ac:dyDescent="0.25">
      <c r="C646" s="11"/>
      <c r="I646" s="11"/>
    </row>
    <row r="647" spans="3:9" ht="15.75" customHeight="1" x14ac:dyDescent="0.25">
      <c r="C647" s="11"/>
      <c r="I647" s="11"/>
    </row>
    <row r="648" spans="3:9" ht="15.75" customHeight="1" x14ac:dyDescent="0.25">
      <c r="C648" s="11"/>
      <c r="I648" s="11"/>
    </row>
    <row r="649" spans="3:9" ht="15.75" customHeight="1" x14ac:dyDescent="0.25">
      <c r="C649" s="11"/>
      <c r="I649" s="11"/>
    </row>
    <row r="650" spans="3:9" ht="15.75" customHeight="1" x14ac:dyDescent="0.25">
      <c r="C650" s="11"/>
      <c r="I650" s="11"/>
    </row>
    <row r="651" spans="3:9" ht="15.75" customHeight="1" x14ac:dyDescent="0.25">
      <c r="C651" s="11"/>
      <c r="I651" s="11"/>
    </row>
    <row r="652" spans="3:9" ht="15.75" customHeight="1" x14ac:dyDescent="0.25">
      <c r="C652" s="11"/>
      <c r="I652" s="11"/>
    </row>
    <row r="653" spans="3:9" ht="15.75" customHeight="1" x14ac:dyDescent="0.25">
      <c r="C653" s="11"/>
      <c r="I653" s="11"/>
    </row>
    <row r="654" spans="3:9" ht="15.75" customHeight="1" x14ac:dyDescent="0.25">
      <c r="C654" s="11"/>
      <c r="I654" s="11"/>
    </row>
    <row r="655" spans="3:9" ht="15.75" customHeight="1" x14ac:dyDescent="0.25">
      <c r="C655" s="11"/>
      <c r="I655" s="11"/>
    </row>
    <row r="656" spans="3:9" ht="15.75" customHeight="1" x14ac:dyDescent="0.25">
      <c r="C656" s="11"/>
      <c r="I656" s="11"/>
    </row>
    <row r="657" spans="3:9" ht="15.75" customHeight="1" x14ac:dyDescent="0.25">
      <c r="C657" s="11"/>
      <c r="I657" s="11"/>
    </row>
    <row r="658" spans="3:9" ht="15.75" customHeight="1" x14ac:dyDescent="0.25">
      <c r="C658" s="11"/>
      <c r="I658" s="11"/>
    </row>
    <row r="659" spans="3:9" ht="15.75" customHeight="1" x14ac:dyDescent="0.25">
      <c r="C659" s="11"/>
      <c r="I659" s="11"/>
    </row>
    <row r="660" spans="3:9" ht="15.75" customHeight="1" x14ac:dyDescent="0.25">
      <c r="C660" s="11"/>
      <c r="I660" s="11"/>
    </row>
    <row r="661" spans="3:9" ht="15.75" customHeight="1" x14ac:dyDescent="0.25">
      <c r="C661" s="11"/>
      <c r="I661" s="11"/>
    </row>
    <row r="662" spans="3:9" ht="15.75" customHeight="1" x14ac:dyDescent="0.25">
      <c r="C662" s="11"/>
      <c r="I662" s="11"/>
    </row>
    <row r="663" spans="3:9" ht="15.75" customHeight="1" x14ac:dyDescent="0.25">
      <c r="C663" s="11"/>
      <c r="I663" s="11"/>
    </row>
    <row r="664" spans="3:9" ht="15.75" customHeight="1" x14ac:dyDescent="0.25">
      <c r="C664" s="11"/>
      <c r="I664" s="11"/>
    </row>
    <row r="665" spans="3:9" ht="15.75" customHeight="1" x14ac:dyDescent="0.25">
      <c r="C665" s="11"/>
      <c r="I665" s="11"/>
    </row>
    <row r="666" spans="3:9" ht="15.75" customHeight="1" x14ac:dyDescent="0.25">
      <c r="C666" s="11"/>
      <c r="I666" s="11"/>
    </row>
    <row r="667" spans="3:9" ht="15.75" customHeight="1" x14ac:dyDescent="0.25">
      <c r="C667" s="11"/>
      <c r="I667" s="11"/>
    </row>
    <row r="668" spans="3:9" ht="15.75" customHeight="1" x14ac:dyDescent="0.25">
      <c r="C668" s="11"/>
      <c r="I668" s="11"/>
    </row>
    <row r="669" spans="3:9" ht="15.75" customHeight="1" x14ac:dyDescent="0.25">
      <c r="C669" s="11"/>
      <c r="I669" s="11"/>
    </row>
    <row r="670" spans="3:9" ht="15.75" customHeight="1" x14ac:dyDescent="0.25">
      <c r="C670" s="11"/>
      <c r="I670" s="11"/>
    </row>
    <row r="671" spans="3:9" ht="15.75" customHeight="1" x14ac:dyDescent="0.25">
      <c r="C671" s="11"/>
      <c r="I671" s="11"/>
    </row>
    <row r="672" spans="3:9" ht="15.75" customHeight="1" x14ac:dyDescent="0.25">
      <c r="C672" s="11"/>
      <c r="I672" s="11"/>
    </row>
    <row r="673" spans="3:9" ht="15.75" customHeight="1" x14ac:dyDescent="0.25">
      <c r="C673" s="11"/>
      <c r="I673" s="11"/>
    </row>
    <row r="674" spans="3:9" ht="15.75" customHeight="1" x14ac:dyDescent="0.25">
      <c r="C674" s="11"/>
      <c r="I674" s="11"/>
    </row>
    <row r="675" spans="3:9" ht="15.75" customHeight="1" x14ac:dyDescent="0.25">
      <c r="C675" s="11"/>
      <c r="I675" s="11"/>
    </row>
    <row r="676" spans="3:9" ht="15.75" customHeight="1" x14ac:dyDescent="0.25">
      <c r="C676" s="11"/>
      <c r="I676" s="11"/>
    </row>
    <row r="677" spans="3:9" ht="15.75" customHeight="1" x14ac:dyDescent="0.25">
      <c r="C677" s="11"/>
      <c r="I677" s="11"/>
    </row>
    <row r="678" spans="3:9" ht="15.75" customHeight="1" x14ac:dyDescent="0.25">
      <c r="C678" s="11"/>
      <c r="I678" s="11"/>
    </row>
    <row r="679" spans="3:9" ht="15.75" customHeight="1" x14ac:dyDescent="0.25">
      <c r="C679" s="11"/>
      <c r="I679" s="11"/>
    </row>
    <row r="680" spans="3:9" ht="15.75" customHeight="1" x14ac:dyDescent="0.25">
      <c r="C680" s="11"/>
      <c r="I680" s="11"/>
    </row>
    <row r="681" spans="3:9" ht="15.75" customHeight="1" x14ac:dyDescent="0.25">
      <c r="C681" s="11"/>
      <c r="I681" s="11"/>
    </row>
    <row r="682" spans="3:9" ht="15.75" customHeight="1" x14ac:dyDescent="0.25">
      <c r="C682" s="11"/>
      <c r="I682" s="11"/>
    </row>
    <row r="683" spans="3:9" ht="15.75" customHeight="1" x14ac:dyDescent="0.25">
      <c r="C683" s="11"/>
      <c r="I683" s="11"/>
    </row>
    <row r="684" spans="3:9" ht="15.75" customHeight="1" x14ac:dyDescent="0.25">
      <c r="C684" s="11"/>
      <c r="I684" s="11"/>
    </row>
    <row r="685" spans="3:9" ht="15.75" customHeight="1" x14ac:dyDescent="0.25">
      <c r="C685" s="11"/>
      <c r="I685" s="11"/>
    </row>
    <row r="686" spans="3:9" ht="15.75" customHeight="1" x14ac:dyDescent="0.25">
      <c r="C686" s="11"/>
      <c r="I686" s="11"/>
    </row>
    <row r="687" spans="3:9" ht="15.75" customHeight="1" x14ac:dyDescent="0.25">
      <c r="C687" s="11"/>
      <c r="I687" s="11"/>
    </row>
    <row r="688" spans="3:9" ht="15.75" customHeight="1" x14ac:dyDescent="0.25">
      <c r="C688" s="11"/>
      <c r="I688" s="11"/>
    </row>
    <row r="689" spans="3:9" ht="15.75" customHeight="1" x14ac:dyDescent="0.25">
      <c r="C689" s="11"/>
      <c r="I689" s="11"/>
    </row>
    <row r="690" spans="3:9" ht="15.75" customHeight="1" x14ac:dyDescent="0.25">
      <c r="C690" s="11"/>
      <c r="I690" s="11"/>
    </row>
    <row r="691" spans="3:9" ht="15.75" customHeight="1" x14ac:dyDescent="0.25">
      <c r="C691" s="11"/>
      <c r="I691" s="11"/>
    </row>
    <row r="692" spans="3:9" ht="15.75" customHeight="1" x14ac:dyDescent="0.25">
      <c r="C692" s="11"/>
      <c r="I692" s="11"/>
    </row>
    <row r="693" spans="3:9" ht="15.75" customHeight="1" x14ac:dyDescent="0.25">
      <c r="C693" s="11"/>
      <c r="I693" s="11"/>
    </row>
    <row r="694" spans="3:9" ht="15.75" customHeight="1" x14ac:dyDescent="0.25">
      <c r="C694" s="11"/>
      <c r="I694" s="11"/>
    </row>
    <row r="695" spans="3:9" ht="15.75" customHeight="1" x14ac:dyDescent="0.25">
      <c r="C695" s="11"/>
      <c r="I695" s="11"/>
    </row>
    <row r="696" spans="3:9" ht="15.75" customHeight="1" x14ac:dyDescent="0.25">
      <c r="C696" s="11"/>
      <c r="I696" s="11"/>
    </row>
    <row r="697" spans="3:9" ht="15.75" customHeight="1" x14ac:dyDescent="0.25">
      <c r="C697" s="11"/>
      <c r="I697" s="11"/>
    </row>
    <row r="698" spans="3:9" ht="15.75" customHeight="1" x14ac:dyDescent="0.25">
      <c r="C698" s="11"/>
      <c r="I698" s="11"/>
    </row>
    <row r="699" spans="3:9" ht="15.75" customHeight="1" x14ac:dyDescent="0.25">
      <c r="C699" s="11"/>
      <c r="I699" s="11"/>
    </row>
    <row r="700" spans="3:9" ht="15.75" customHeight="1" x14ac:dyDescent="0.25">
      <c r="C700" s="11"/>
      <c r="I700" s="11"/>
    </row>
    <row r="701" spans="3:9" ht="15.75" customHeight="1" x14ac:dyDescent="0.25">
      <c r="C701" s="11"/>
      <c r="I701" s="11"/>
    </row>
    <row r="702" spans="3:9" ht="15.75" customHeight="1" x14ac:dyDescent="0.25">
      <c r="C702" s="11"/>
      <c r="I702" s="11"/>
    </row>
    <row r="703" spans="3:9" ht="15.75" customHeight="1" x14ac:dyDescent="0.25">
      <c r="C703" s="11"/>
      <c r="I703" s="11"/>
    </row>
    <row r="704" spans="3:9" ht="15.75" customHeight="1" x14ac:dyDescent="0.25">
      <c r="C704" s="11"/>
      <c r="I704" s="11"/>
    </row>
    <row r="705" spans="3:9" ht="15.75" customHeight="1" x14ac:dyDescent="0.25">
      <c r="C705" s="11"/>
      <c r="I705" s="11"/>
    </row>
    <row r="706" spans="3:9" ht="15.75" customHeight="1" x14ac:dyDescent="0.25">
      <c r="C706" s="11"/>
      <c r="I706" s="11"/>
    </row>
    <row r="707" spans="3:9" ht="15.75" customHeight="1" x14ac:dyDescent="0.25">
      <c r="C707" s="11"/>
      <c r="I707" s="11"/>
    </row>
    <row r="708" spans="3:9" ht="15.75" customHeight="1" x14ac:dyDescent="0.25">
      <c r="C708" s="11"/>
      <c r="I708" s="11"/>
    </row>
    <row r="709" spans="3:9" ht="15.75" customHeight="1" x14ac:dyDescent="0.25">
      <c r="C709" s="11"/>
      <c r="I709" s="11"/>
    </row>
    <row r="710" spans="3:9" ht="15.75" customHeight="1" x14ac:dyDescent="0.25">
      <c r="C710" s="11"/>
      <c r="I710" s="11"/>
    </row>
    <row r="711" spans="3:9" ht="15.75" customHeight="1" x14ac:dyDescent="0.25">
      <c r="C711" s="11"/>
      <c r="I711" s="11"/>
    </row>
    <row r="712" spans="3:9" ht="15.75" customHeight="1" x14ac:dyDescent="0.25">
      <c r="C712" s="11"/>
      <c r="I712" s="11"/>
    </row>
    <row r="713" spans="3:9" ht="15.75" customHeight="1" x14ac:dyDescent="0.25">
      <c r="C713" s="11"/>
      <c r="I713" s="11"/>
    </row>
    <row r="714" spans="3:9" ht="15.75" customHeight="1" x14ac:dyDescent="0.25">
      <c r="C714" s="11"/>
      <c r="I714" s="11"/>
    </row>
    <row r="715" spans="3:9" ht="15.75" customHeight="1" x14ac:dyDescent="0.25">
      <c r="C715" s="11"/>
      <c r="I715" s="11"/>
    </row>
    <row r="716" spans="3:9" ht="15.75" customHeight="1" x14ac:dyDescent="0.25">
      <c r="C716" s="11"/>
      <c r="I716" s="11"/>
    </row>
    <row r="717" spans="3:9" ht="15.75" customHeight="1" x14ac:dyDescent="0.25">
      <c r="C717" s="11"/>
      <c r="I717" s="11"/>
    </row>
    <row r="718" spans="3:9" ht="15.75" customHeight="1" x14ac:dyDescent="0.25">
      <c r="C718" s="11"/>
      <c r="I718" s="11"/>
    </row>
    <row r="719" spans="3:9" ht="15.75" customHeight="1" x14ac:dyDescent="0.25">
      <c r="C719" s="11"/>
      <c r="I719" s="11"/>
    </row>
    <row r="720" spans="3:9" ht="15.75" customHeight="1" x14ac:dyDescent="0.25">
      <c r="C720" s="11"/>
      <c r="I720" s="11"/>
    </row>
    <row r="721" spans="3:9" ht="15.75" customHeight="1" x14ac:dyDescent="0.25">
      <c r="C721" s="11"/>
      <c r="I721" s="11"/>
    </row>
    <row r="722" spans="3:9" ht="15.75" customHeight="1" x14ac:dyDescent="0.25">
      <c r="C722" s="11"/>
      <c r="I722" s="11"/>
    </row>
    <row r="723" spans="3:9" ht="15.75" customHeight="1" x14ac:dyDescent="0.25">
      <c r="C723" s="11"/>
      <c r="I723" s="11"/>
    </row>
    <row r="724" spans="3:9" ht="15.75" customHeight="1" x14ac:dyDescent="0.25">
      <c r="C724" s="11"/>
      <c r="I724" s="11"/>
    </row>
    <row r="725" spans="3:9" ht="15.75" customHeight="1" x14ac:dyDescent="0.25">
      <c r="C725" s="11"/>
      <c r="I725" s="11"/>
    </row>
    <row r="726" spans="3:9" ht="15.75" customHeight="1" x14ac:dyDescent="0.25">
      <c r="C726" s="11"/>
      <c r="I726" s="11"/>
    </row>
    <row r="727" spans="3:9" ht="15.75" customHeight="1" x14ac:dyDescent="0.25">
      <c r="C727" s="11"/>
      <c r="I727" s="11"/>
    </row>
    <row r="728" spans="3:9" ht="15.75" customHeight="1" x14ac:dyDescent="0.25">
      <c r="C728" s="11"/>
      <c r="I728" s="11"/>
    </row>
    <row r="729" spans="3:9" ht="15.75" customHeight="1" x14ac:dyDescent="0.25">
      <c r="C729" s="11"/>
      <c r="I729" s="11"/>
    </row>
    <row r="730" spans="3:9" ht="15.75" customHeight="1" x14ac:dyDescent="0.25">
      <c r="C730" s="11"/>
      <c r="I730" s="11"/>
    </row>
    <row r="731" spans="3:9" ht="15.75" customHeight="1" x14ac:dyDescent="0.25">
      <c r="C731" s="11"/>
      <c r="I731" s="11"/>
    </row>
    <row r="732" spans="3:9" ht="15.75" customHeight="1" x14ac:dyDescent="0.25">
      <c r="C732" s="11"/>
      <c r="I732" s="11"/>
    </row>
    <row r="733" spans="3:9" ht="15.75" customHeight="1" x14ac:dyDescent="0.25">
      <c r="C733" s="11"/>
      <c r="I733" s="11"/>
    </row>
    <row r="734" spans="3:9" ht="15.75" customHeight="1" x14ac:dyDescent="0.25">
      <c r="C734" s="11"/>
      <c r="I734" s="11"/>
    </row>
    <row r="735" spans="3:9" ht="15.75" customHeight="1" x14ac:dyDescent="0.25">
      <c r="C735" s="11"/>
      <c r="I735" s="11"/>
    </row>
    <row r="736" spans="3:9" ht="15.75" customHeight="1" x14ac:dyDescent="0.25">
      <c r="C736" s="11"/>
      <c r="I736" s="11"/>
    </row>
    <row r="737" spans="3:9" ht="15.75" customHeight="1" x14ac:dyDescent="0.25">
      <c r="C737" s="11"/>
      <c r="I737" s="11"/>
    </row>
    <row r="738" spans="3:9" ht="15.75" customHeight="1" x14ac:dyDescent="0.25">
      <c r="C738" s="11"/>
      <c r="I738" s="11"/>
    </row>
    <row r="739" spans="3:9" ht="15.75" customHeight="1" x14ac:dyDescent="0.25">
      <c r="C739" s="11"/>
      <c r="I739" s="11"/>
    </row>
    <row r="740" spans="3:9" ht="15.75" customHeight="1" x14ac:dyDescent="0.25">
      <c r="C740" s="11"/>
      <c r="I740" s="11"/>
    </row>
    <row r="741" spans="3:9" ht="15.75" customHeight="1" x14ac:dyDescent="0.25">
      <c r="C741" s="11"/>
      <c r="I741" s="11"/>
    </row>
    <row r="742" spans="3:9" ht="15.75" customHeight="1" x14ac:dyDescent="0.25">
      <c r="C742" s="11"/>
      <c r="I742" s="11"/>
    </row>
    <row r="743" spans="3:9" ht="15.75" customHeight="1" x14ac:dyDescent="0.25">
      <c r="C743" s="11"/>
      <c r="I743" s="11"/>
    </row>
    <row r="744" spans="3:9" ht="15.75" customHeight="1" x14ac:dyDescent="0.25">
      <c r="C744" s="11"/>
      <c r="I744" s="11"/>
    </row>
    <row r="745" spans="3:9" ht="15.75" customHeight="1" x14ac:dyDescent="0.25">
      <c r="C745" s="11"/>
      <c r="I745" s="11"/>
    </row>
    <row r="746" spans="3:9" ht="15.75" customHeight="1" x14ac:dyDescent="0.25">
      <c r="C746" s="11"/>
      <c r="I746" s="11"/>
    </row>
    <row r="747" spans="3:9" ht="15.75" customHeight="1" x14ac:dyDescent="0.25">
      <c r="C747" s="11"/>
      <c r="I747" s="11"/>
    </row>
    <row r="748" spans="3:9" ht="15.75" customHeight="1" x14ac:dyDescent="0.25">
      <c r="C748" s="11"/>
      <c r="I748" s="11"/>
    </row>
    <row r="749" spans="3:9" ht="15.75" customHeight="1" x14ac:dyDescent="0.25">
      <c r="C749" s="11"/>
      <c r="I749" s="11"/>
    </row>
    <row r="750" spans="3:9" ht="15.75" customHeight="1" x14ac:dyDescent="0.25">
      <c r="C750" s="11"/>
      <c r="I750" s="11"/>
    </row>
    <row r="751" spans="3:9" ht="15.75" customHeight="1" x14ac:dyDescent="0.25">
      <c r="C751" s="11"/>
      <c r="I751" s="11"/>
    </row>
    <row r="752" spans="3:9" ht="15.75" customHeight="1" x14ac:dyDescent="0.25">
      <c r="C752" s="11"/>
      <c r="I752" s="11"/>
    </row>
    <row r="753" spans="3:9" ht="15.75" customHeight="1" x14ac:dyDescent="0.25">
      <c r="C753" s="11"/>
      <c r="I753" s="11"/>
    </row>
    <row r="754" spans="3:9" ht="15.75" customHeight="1" x14ac:dyDescent="0.25">
      <c r="C754" s="11"/>
      <c r="I754" s="11"/>
    </row>
    <row r="755" spans="3:9" ht="15.75" customHeight="1" x14ac:dyDescent="0.25">
      <c r="C755" s="11"/>
      <c r="I755" s="11"/>
    </row>
    <row r="756" spans="3:9" ht="15.75" customHeight="1" x14ac:dyDescent="0.25">
      <c r="C756" s="11"/>
      <c r="I756" s="11"/>
    </row>
    <row r="757" spans="3:9" ht="15.75" customHeight="1" x14ac:dyDescent="0.25">
      <c r="C757" s="11"/>
      <c r="I757" s="11"/>
    </row>
    <row r="758" spans="3:9" ht="15.75" customHeight="1" x14ac:dyDescent="0.25">
      <c r="C758" s="11"/>
      <c r="I758" s="11"/>
    </row>
    <row r="759" spans="3:9" ht="15.75" customHeight="1" x14ac:dyDescent="0.25">
      <c r="C759" s="11"/>
      <c r="I759" s="11"/>
    </row>
    <row r="760" spans="3:9" ht="15.75" customHeight="1" x14ac:dyDescent="0.25">
      <c r="C760" s="11"/>
      <c r="I760" s="11"/>
    </row>
    <row r="761" spans="3:9" ht="15.75" customHeight="1" x14ac:dyDescent="0.25">
      <c r="C761" s="11"/>
      <c r="I761" s="11"/>
    </row>
    <row r="762" spans="3:9" ht="15.75" customHeight="1" x14ac:dyDescent="0.25">
      <c r="C762" s="11"/>
      <c r="I762" s="11"/>
    </row>
    <row r="763" spans="3:9" ht="15.75" customHeight="1" x14ac:dyDescent="0.25">
      <c r="C763" s="11"/>
      <c r="I763" s="11"/>
    </row>
    <row r="764" spans="3:9" ht="15.75" customHeight="1" x14ac:dyDescent="0.25">
      <c r="C764" s="11"/>
      <c r="I764" s="11"/>
    </row>
    <row r="765" spans="3:9" ht="15.75" customHeight="1" x14ac:dyDescent="0.25">
      <c r="C765" s="11"/>
      <c r="I765" s="11"/>
    </row>
    <row r="766" spans="3:9" ht="15.75" customHeight="1" x14ac:dyDescent="0.25">
      <c r="C766" s="11"/>
      <c r="I766" s="11"/>
    </row>
    <row r="767" spans="3:9" ht="15.75" customHeight="1" x14ac:dyDescent="0.25">
      <c r="C767" s="11"/>
      <c r="I767" s="11"/>
    </row>
    <row r="768" spans="3:9" ht="15.75" customHeight="1" x14ac:dyDescent="0.25">
      <c r="C768" s="11"/>
      <c r="I768" s="11"/>
    </row>
    <row r="769" spans="3:9" ht="15.75" customHeight="1" x14ac:dyDescent="0.25">
      <c r="C769" s="11"/>
      <c r="I769" s="11"/>
    </row>
    <row r="770" spans="3:9" ht="15.75" customHeight="1" x14ac:dyDescent="0.25">
      <c r="C770" s="11"/>
      <c r="I770" s="11"/>
    </row>
    <row r="771" spans="3:9" ht="15.75" customHeight="1" x14ac:dyDescent="0.25">
      <c r="C771" s="11"/>
      <c r="I771" s="11"/>
    </row>
    <row r="772" spans="3:9" ht="15.75" customHeight="1" x14ac:dyDescent="0.25">
      <c r="C772" s="11"/>
      <c r="I772" s="11"/>
    </row>
    <row r="773" spans="3:9" ht="15.75" customHeight="1" x14ac:dyDescent="0.25">
      <c r="C773" s="11"/>
      <c r="I773" s="11"/>
    </row>
    <row r="774" spans="3:9" ht="15.75" customHeight="1" x14ac:dyDescent="0.25">
      <c r="C774" s="11"/>
      <c r="I774" s="11"/>
    </row>
    <row r="775" spans="3:9" ht="15.75" customHeight="1" x14ac:dyDescent="0.25">
      <c r="C775" s="11"/>
      <c r="I775" s="11"/>
    </row>
    <row r="776" spans="3:9" ht="15.75" customHeight="1" x14ac:dyDescent="0.25">
      <c r="C776" s="11"/>
      <c r="I776" s="11"/>
    </row>
    <row r="777" spans="3:9" ht="15.75" customHeight="1" x14ac:dyDescent="0.25">
      <c r="C777" s="11"/>
      <c r="I777" s="11"/>
    </row>
    <row r="778" spans="3:9" ht="15.75" customHeight="1" x14ac:dyDescent="0.25">
      <c r="C778" s="11"/>
      <c r="I778" s="11"/>
    </row>
    <row r="779" spans="3:9" ht="15.75" customHeight="1" x14ac:dyDescent="0.25">
      <c r="C779" s="11"/>
      <c r="I779" s="11"/>
    </row>
    <row r="780" spans="3:9" ht="15.75" customHeight="1" x14ac:dyDescent="0.25">
      <c r="C780" s="11"/>
      <c r="I780" s="11"/>
    </row>
    <row r="781" spans="3:9" ht="15.75" customHeight="1" x14ac:dyDescent="0.25">
      <c r="C781" s="11"/>
      <c r="I781" s="11"/>
    </row>
    <row r="782" spans="3:9" ht="15.75" customHeight="1" x14ac:dyDescent="0.25">
      <c r="C782" s="11"/>
      <c r="I782" s="11"/>
    </row>
    <row r="783" spans="3:9" ht="15.75" customHeight="1" x14ac:dyDescent="0.25">
      <c r="C783" s="11"/>
      <c r="I783" s="11"/>
    </row>
    <row r="784" spans="3:9" ht="15.75" customHeight="1" x14ac:dyDescent="0.25">
      <c r="C784" s="11"/>
      <c r="I784" s="11"/>
    </row>
    <row r="785" spans="3:9" ht="15.75" customHeight="1" x14ac:dyDescent="0.25">
      <c r="C785" s="11"/>
      <c r="I785" s="11"/>
    </row>
    <row r="786" spans="3:9" ht="15.75" customHeight="1" x14ac:dyDescent="0.25">
      <c r="C786" s="11"/>
      <c r="I786" s="11"/>
    </row>
    <row r="787" spans="3:9" ht="15.75" customHeight="1" x14ac:dyDescent="0.25">
      <c r="C787" s="11"/>
      <c r="I787" s="11"/>
    </row>
    <row r="788" spans="3:9" ht="15.75" customHeight="1" x14ac:dyDescent="0.25">
      <c r="C788" s="11"/>
      <c r="I788" s="11"/>
    </row>
    <row r="789" spans="3:9" ht="15.75" customHeight="1" x14ac:dyDescent="0.25">
      <c r="C789" s="11"/>
      <c r="I789" s="11"/>
    </row>
    <row r="790" spans="3:9" ht="15.75" customHeight="1" x14ac:dyDescent="0.25">
      <c r="C790" s="11"/>
      <c r="I790" s="11"/>
    </row>
    <row r="791" spans="3:9" ht="15.75" customHeight="1" x14ac:dyDescent="0.25">
      <c r="C791" s="11"/>
      <c r="I791" s="11"/>
    </row>
    <row r="792" spans="3:9" ht="15.75" customHeight="1" x14ac:dyDescent="0.25">
      <c r="C792" s="11"/>
      <c r="I792" s="11"/>
    </row>
    <row r="793" spans="3:9" ht="15.75" customHeight="1" x14ac:dyDescent="0.25">
      <c r="C793" s="11"/>
      <c r="I793" s="11"/>
    </row>
    <row r="794" spans="3:9" ht="15.75" customHeight="1" x14ac:dyDescent="0.25">
      <c r="C794" s="11"/>
      <c r="I794" s="11"/>
    </row>
    <row r="795" spans="3:9" ht="15.75" customHeight="1" x14ac:dyDescent="0.25">
      <c r="C795" s="11"/>
      <c r="I795" s="11"/>
    </row>
    <row r="796" spans="3:9" ht="15.75" customHeight="1" x14ac:dyDescent="0.25">
      <c r="C796" s="11"/>
      <c r="I796" s="11"/>
    </row>
    <row r="797" spans="3:9" ht="15.75" customHeight="1" x14ac:dyDescent="0.25">
      <c r="C797" s="11"/>
      <c r="I797" s="11"/>
    </row>
    <row r="798" spans="3:9" ht="15.75" customHeight="1" x14ac:dyDescent="0.25">
      <c r="C798" s="11"/>
      <c r="I798" s="11"/>
    </row>
    <row r="799" spans="3:9" ht="15.75" customHeight="1" x14ac:dyDescent="0.25">
      <c r="C799" s="11"/>
      <c r="I799" s="11"/>
    </row>
    <row r="800" spans="3:9" ht="15.75" customHeight="1" x14ac:dyDescent="0.25">
      <c r="C800" s="11"/>
      <c r="I800" s="11"/>
    </row>
    <row r="801" spans="3:9" ht="15.75" customHeight="1" x14ac:dyDescent="0.25">
      <c r="C801" s="11"/>
      <c r="I801" s="11"/>
    </row>
    <row r="802" spans="3:9" ht="15.75" customHeight="1" x14ac:dyDescent="0.25">
      <c r="C802" s="11"/>
      <c r="I802" s="11"/>
    </row>
    <row r="803" spans="3:9" ht="15.75" customHeight="1" x14ac:dyDescent="0.25">
      <c r="C803" s="11"/>
      <c r="I803" s="11"/>
    </row>
    <row r="804" spans="3:9" ht="15.75" customHeight="1" x14ac:dyDescent="0.25">
      <c r="C804" s="11"/>
      <c r="I804" s="11"/>
    </row>
    <row r="805" spans="3:9" ht="15.75" customHeight="1" x14ac:dyDescent="0.25">
      <c r="C805" s="11"/>
      <c r="I805" s="11"/>
    </row>
    <row r="806" spans="3:9" ht="15.75" customHeight="1" x14ac:dyDescent="0.25">
      <c r="C806" s="11"/>
      <c r="I806" s="11"/>
    </row>
    <row r="807" spans="3:9" ht="15.75" customHeight="1" x14ac:dyDescent="0.25">
      <c r="C807" s="11"/>
      <c r="I807" s="11"/>
    </row>
    <row r="808" spans="3:9" ht="15.75" customHeight="1" x14ac:dyDescent="0.25">
      <c r="C808" s="11"/>
      <c r="I808" s="11"/>
    </row>
    <row r="809" spans="3:9" ht="15.75" customHeight="1" x14ac:dyDescent="0.25">
      <c r="C809" s="11"/>
      <c r="I809" s="11"/>
    </row>
    <row r="810" spans="3:9" ht="15.75" customHeight="1" x14ac:dyDescent="0.25">
      <c r="C810" s="11"/>
      <c r="I810" s="11"/>
    </row>
    <row r="811" spans="3:9" ht="15.75" customHeight="1" x14ac:dyDescent="0.25">
      <c r="C811" s="11"/>
      <c r="I811" s="11"/>
    </row>
    <row r="812" spans="3:9" ht="15.75" customHeight="1" x14ac:dyDescent="0.25">
      <c r="C812" s="11"/>
      <c r="I812" s="11"/>
    </row>
    <row r="813" spans="3:9" ht="15.75" customHeight="1" x14ac:dyDescent="0.25">
      <c r="C813" s="11"/>
      <c r="I813" s="11"/>
    </row>
    <row r="814" spans="3:9" ht="15.75" customHeight="1" x14ac:dyDescent="0.25">
      <c r="C814" s="11"/>
      <c r="I814" s="11"/>
    </row>
    <row r="815" spans="3:9" ht="15.75" customHeight="1" x14ac:dyDescent="0.25">
      <c r="C815" s="11"/>
      <c r="I815" s="11"/>
    </row>
    <row r="816" spans="3:9" ht="15.75" customHeight="1" x14ac:dyDescent="0.25">
      <c r="C816" s="11"/>
      <c r="I816" s="11"/>
    </row>
    <row r="817" spans="3:9" ht="15.75" customHeight="1" x14ac:dyDescent="0.25">
      <c r="C817" s="11"/>
      <c r="I817" s="11"/>
    </row>
    <row r="818" spans="3:9" ht="15.75" customHeight="1" x14ac:dyDescent="0.25">
      <c r="C818" s="11"/>
      <c r="I818" s="11"/>
    </row>
    <row r="819" spans="3:9" ht="15.75" customHeight="1" x14ac:dyDescent="0.25">
      <c r="C819" s="11"/>
      <c r="I819" s="11"/>
    </row>
    <row r="820" spans="3:9" ht="15.75" customHeight="1" x14ac:dyDescent="0.25">
      <c r="C820" s="11"/>
      <c r="I820" s="11"/>
    </row>
    <row r="821" spans="3:9" ht="15.75" customHeight="1" x14ac:dyDescent="0.25">
      <c r="C821" s="11"/>
      <c r="I821" s="11"/>
    </row>
    <row r="822" spans="3:9" ht="15.75" customHeight="1" x14ac:dyDescent="0.25">
      <c r="C822" s="11"/>
      <c r="I822" s="11"/>
    </row>
    <row r="823" spans="3:9" ht="15.75" customHeight="1" x14ac:dyDescent="0.25">
      <c r="C823" s="11"/>
      <c r="I823" s="11"/>
    </row>
    <row r="824" spans="3:9" ht="15.75" customHeight="1" x14ac:dyDescent="0.25">
      <c r="C824" s="11"/>
      <c r="I824" s="11"/>
    </row>
    <row r="825" spans="3:9" ht="15.75" customHeight="1" x14ac:dyDescent="0.25">
      <c r="C825" s="11"/>
      <c r="I825" s="11"/>
    </row>
    <row r="826" spans="3:9" ht="15.75" customHeight="1" x14ac:dyDescent="0.25">
      <c r="C826" s="11"/>
      <c r="I826" s="11"/>
    </row>
    <row r="827" spans="3:9" ht="15.75" customHeight="1" x14ac:dyDescent="0.25">
      <c r="C827" s="11"/>
      <c r="I827" s="11"/>
    </row>
    <row r="828" spans="3:9" ht="15.75" customHeight="1" x14ac:dyDescent="0.25">
      <c r="C828" s="11"/>
      <c r="I828" s="11"/>
    </row>
    <row r="829" spans="3:9" ht="15.75" customHeight="1" x14ac:dyDescent="0.25">
      <c r="C829" s="11"/>
      <c r="I829" s="11"/>
    </row>
    <row r="830" spans="3:9" ht="15.75" customHeight="1" x14ac:dyDescent="0.25">
      <c r="C830" s="11"/>
      <c r="I830" s="11"/>
    </row>
    <row r="831" spans="3:9" ht="15.75" customHeight="1" x14ac:dyDescent="0.25">
      <c r="C831" s="11"/>
      <c r="I831" s="11"/>
    </row>
    <row r="832" spans="3:9" ht="15.75" customHeight="1" x14ac:dyDescent="0.25">
      <c r="C832" s="11"/>
      <c r="I832" s="11"/>
    </row>
    <row r="833" spans="3:9" ht="15.75" customHeight="1" x14ac:dyDescent="0.25">
      <c r="C833" s="11"/>
      <c r="I833" s="11"/>
    </row>
    <row r="834" spans="3:9" ht="15.75" customHeight="1" x14ac:dyDescent="0.25">
      <c r="C834" s="11"/>
      <c r="I834" s="11"/>
    </row>
    <row r="835" spans="3:9" ht="15.75" customHeight="1" x14ac:dyDescent="0.25">
      <c r="C835" s="11"/>
      <c r="I835" s="11"/>
    </row>
    <row r="836" spans="3:9" ht="15.75" customHeight="1" x14ac:dyDescent="0.25">
      <c r="C836" s="11"/>
      <c r="I836" s="11"/>
    </row>
    <row r="837" spans="3:9" ht="15.75" customHeight="1" x14ac:dyDescent="0.25">
      <c r="C837" s="11"/>
      <c r="I837" s="11"/>
    </row>
    <row r="838" spans="3:9" ht="15.75" customHeight="1" x14ac:dyDescent="0.25">
      <c r="C838" s="11"/>
      <c r="I838" s="11"/>
    </row>
    <row r="839" spans="3:9" ht="15.75" customHeight="1" x14ac:dyDescent="0.25">
      <c r="C839" s="11"/>
      <c r="I839" s="11"/>
    </row>
    <row r="840" spans="3:9" ht="15.75" customHeight="1" x14ac:dyDescent="0.25">
      <c r="C840" s="11"/>
      <c r="I840" s="11"/>
    </row>
    <row r="841" spans="3:9" ht="15.75" customHeight="1" x14ac:dyDescent="0.25">
      <c r="C841" s="11"/>
      <c r="I841" s="11"/>
    </row>
    <row r="842" spans="3:9" ht="15.75" customHeight="1" x14ac:dyDescent="0.25">
      <c r="C842" s="11"/>
      <c r="I842" s="11"/>
    </row>
    <row r="843" spans="3:9" ht="15.75" customHeight="1" x14ac:dyDescent="0.25">
      <c r="C843" s="11"/>
      <c r="I843" s="11"/>
    </row>
    <row r="844" spans="3:9" ht="15.75" customHeight="1" x14ac:dyDescent="0.25">
      <c r="C844" s="11"/>
      <c r="I844" s="11"/>
    </row>
    <row r="845" spans="3:9" ht="15.75" customHeight="1" x14ac:dyDescent="0.25">
      <c r="C845" s="11"/>
      <c r="I845" s="11"/>
    </row>
    <row r="846" spans="3:9" ht="15.75" customHeight="1" x14ac:dyDescent="0.25">
      <c r="C846" s="11"/>
      <c r="I846" s="11"/>
    </row>
    <row r="847" spans="3:9" ht="15.75" customHeight="1" x14ac:dyDescent="0.25">
      <c r="C847" s="11"/>
      <c r="I847" s="11"/>
    </row>
    <row r="848" spans="3:9" ht="15.75" customHeight="1" x14ac:dyDescent="0.25">
      <c r="C848" s="11"/>
      <c r="I848" s="11"/>
    </row>
    <row r="849" spans="3:9" ht="15.75" customHeight="1" x14ac:dyDescent="0.25">
      <c r="C849" s="11"/>
      <c r="I849" s="11"/>
    </row>
    <row r="850" spans="3:9" ht="15.75" customHeight="1" x14ac:dyDescent="0.25">
      <c r="C850" s="11"/>
      <c r="I850" s="11"/>
    </row>
    <row r="851" spans="3:9" ht="15.75" customHeight="1" x14ac:dyDescent="0.25">
      <c r="C851" s="11"/>
      <c r="I851" s="11"/>
    </row>
    <row r="852" spans="3:9" ht="15.75" customHeight="1" x14ac:dyDescent="0.25">
      <c r="C852" s="11"/>
      <c r="I852" s="11"/>
    </row>
    <row r="853" spans="3:9" ht="15.75" customHeight="1" x14ac:dyDescent="0.25">
      <c r="C853" s="11"/>
      <c r="I853" s="11"/>
    </row>
    <row r="854" spans="3:9" ht="15.75" customHeight="1" x14ac:dyDescent="0.25">
      <c r="C854" s="11"/>
      <c r="I854" s="11"/>
    </row>
    <row r="855" spans="3:9" ht="15.75" customHeight="1" x14ac:dyDescent="0.25">
      <c r="C855" s="11"/>
      <c r="I855" s="11"/>
    </row>
    <row r="856" spans="3:9" ht="15.75" customHeight="1" x14ac:dyDescent="0.25">
      <c r="C856" s="11"/>
      <c r="I856" s="11"/>
    </row>
    <row r="857" spans="3:9" ht="15.75" customHeight="1" x14ac:dyDescent="0.25">
      <c r="C857" s="11"/>
      <c r="I857" s="11"/>
    </row>
    <row r="858" spans="3:9" ht="15.75" customHeight="1" x14ac:dyDescent="0.25">
      <c r="C858" s="11"/>
      <c r="I858" s="11"/>
    </row>
    <row r="859" spans="3:9" ht="15.75" customHeight="1" x14ac:dyDescent="0.25">
      <c r="C859" s="11"/>
      <c r="I859" s="11"/>
    </row>
    <row r="860" spans="3:9" ht="15.75" customHeight="1" x14ac:dyDescent="0.25">
      <c r="C860" s="11"/>
      <c r="I860" s="11"/>
    </row>
    <row r="861" spans="3:9" ht="15.75" customHeight="1" x14ac:dyDescent="0.25">
      <c r="C861" s="11"/>
      <c r="I861" s="11"/>
    </row>
    <row r="862" spans="3:9" ht="15.75" customHeight="1" x14ac:dyDescent="0.25">
      <c r="C862" s="11"/>
      <c r="I862" s="11"/>
    </row>
    <row r="863" spans="3:9" ht="15.75" customHeight="1" x14ac:dyDescent="0.25">
      <c r="C863" s="11"/>
      <c r="I863" s="11"/>
    </row>
    <row r="864" spans="3:9" ht="15.75" customHeight="1" x14ac:dyDescent="0.25">
      <c r="C864" s="11"/>
      <c r="I864" s="11"/>
    </row>
    <row r="865" spans="3:9" ht="15.75" customHeight="1" x14ac:dyDescent="0.25">
      <c r="C865" s="11"/>
      <c r="I865" s="11"/>
    </row>
    <row r="866" spans="3:9" ht="15.75" customHeight="1" x14ac:dyDescent="0.25">
      <c r="C866" s="11"/>
      <c r="I866" s="11"/>
    </row>
    <row r="867" spans="3:9" ht="15.75" customHeight="1" x14ac:dyDescent="0.25">
      <c r="C867" s="11"/>
      <c r="I867" s="11"/>
    </row>
    <row r="868" spans="3:9" ht="15.75" customHeight="1" x14ac:dyDescent="0.25">
      <c r="C868" s="11"/>
      <c r="I868" s="11"/>
    </row>
    <row r="869" spans="3:9" ht="15.75" customHeight="1" x14ac:dyDescent="0.25">
      <c r="C869" s="11"/>
      <c r="I869" s="11"/>
    </row>
    <row r="870" spans="3:9" ht="15.75" customHeight="1" x14ac:dyDescent="0.25">
      <c r="C870" s="11"/>
      <c r="I870" s="11"/>
    </row>
    <row r="871" spans="3:9" ht="15.75" customHeight="1" x14ac:dyDescent="0.25">
      <c r="C871" s="11"/>
      <c r="I871" s="11"/>
    </row>
    <row r="872" spans="3:9" ht="15.75" customHeight="1" x14ac:dyDescent="0.25">
      <c r="C872" s="11"/>
      <c r="I872" s="11"/>
    </row>
    <row r="873" spans="3:9" ht="15.75" customHeight="1" x14ac:dyDescent="0.25">
      <c r="C873" s="11"/>
      <c r="I873" s="11"/>
    </row>
    <row r="874" spans="3:9" ht="15.75" customHeight="1" x14ac:dyDescent="0.25">
      <c r="C874" s="11"/>
      <c r="I874" s="11"/>
    </row>
    <row r="875" spans="3:9" ht="15.75" customHeight="1" x14ac:dyDescent="0.25">
      <c r="C875" s="11"/>
      <c r="I875" s="11"/>
    </row>
    <row r="876" spans="3:9" ht="15.75" customHeight="1" x14ac:dyDescent="0.25">
      <c r="C876" s="11"/>
      <c r="I876" s="11"/>
    </row>
    <row r="877" spans="3:9" ht="15.75" customHeight="1" x14ac:dyDescent="0.25">
      <c r="C877" s="11"/>
      <c r="I877" s="11"/>
    </row>
    <row r="878" spans="3:9" ht="15.75" customHeight="1" x14ac:dyDescent="0.25">
      <c r="C878" s="11"/>
      <c r="I878" s="11"/>
    </row>
    <row r="879" spans="3:9" ht="15.75" customHeight="1" x14ac:dyDescent="0.25">
      <c r="C879" s="11"/>
      <c r="I879" s="11"/>
    </row>
    <row r="880" spans="3:9" ht="15.75" customHeight="1" x14ac:dyDescent="0.25">
      <c r="C880" s="11"/>
      <c r="I880" s="11"/>
    </row>
    <row r="881" spans="3:9" ht="15.75" customHeight="1" x14ac:dyDescent="0.25">
      <c r="C881" s="11"/>
      <c r="I881" s="11"/>
    </row>
    <row r="882" spans="3:9" ht="15.75" customHeight="1" x14ac:dyDescent="0.25">
      <c r="C882" s="11"/>
      <c r="I882" s="11"/>
    </row>
    <row r="883" spans="3:9" ht="15.75" customHeight="1" x14ac:dyDescent="0.25">
      <c r="C883" s="11"/>
      <c r="I883" s="11"/>
    </row>
    <row r="884" spans="3:9" ht="15.75" customHeight="1" x14ac:dyDescent="0.25">
      <c r="C884" s="11"/>
      <c r="I884" s="11"/>
    </row>
    <row r="885" spans="3:9" ht="15.75" customHeight="1" x14ac:dyDescent="0.25">
      <c r="C885" s="11"/>
      <c r="I885" s="11"/>
    </row>
    <row r="886" spans="3:9" ht="15.75" customHeight="1" x14ac:dyDescent="0.25">
      <c r="C886" s="11"/>
      <c r="I886" s="11"/>
    </row>
    <row r="887" spans="3:9" ht="15.75" customHeight="1" x14ac:dyDescent="0.25">
      <c r="C887" s="11"/>
      <c r="I887" s="11"/>
    </row>
    <row r="888" spans="3:9" ht="15.75" customHeight="1" x14ac:dyDescent="0.25">
      <c r="C888" s="11"/>
      <c r="I888" s="11"/>
    </row>
    <row r="889" spans="3:9" ht="15.75" customHeight="1" x14ac:dyDescent="0.25">
      <c r="C889" s="11"/>
      <c r="I889" s="11"/>
    </row>
    <row r="890" spans="3:9" ht="15.75" customHeight="1" x14ac:dyDescent="0.25">
      <c r="C890" s="11"/>
      <c r="I890" s="11"/>
    </row>
    <row r="891" spans="3:9" ht="15.75" customHeight="1" x14ac:dyDescent="0.25">
      <c r="C891" s="11"/>
      <c r="I891" s="11"/>
    </row>
    <row r="892" spans="3:9" ht="15.75" customHeight="1" x14ac:dyDescent="0.25">
      <c r="C892" s="11"/>
      <c r="I892" s="11"/>
    </row>
    <row r="893" spans="3:9" ht="15.75" customHeight="1" x14ac:dyDescent="0.25">
      <c r="C893" s="11"/>
      <c r="I893" s="11"/>
    </row>
    <row r="894" spans="3:9" ht="15.75" customHeight="1" x14ac:dyDescent="0.25">
      <c r="C894" s="11"/>
      <c r="I894" s="11"/>
    </row>
    <row r="895" spans="3:9" ht="15.75" customHeight="1" x14ac:dyDescent="0.25">
      <c r="C895" s="11"/>
      <c r="I895" s="11"/>
    </row>
    <row r="896" spans="3:9" ht="15.75" customHeight="1" x14ac:dyDescent="0.25">
      <c r="C896" s="11"/>
      <c r="I896" s="11"/>
    </row>
    <row r="897" spans="3:9" ht="15.75" customHeight="1" x14ac:dyDescent="0.25">
      <c r="C897" s="11"/>
      <c r="I897" s="11"/>
    </row>
    <row r="898" spans="3:9" ht="15.75" customHeight="1" x14ac:dyDescent="0.25">
      <c r="C898" s="11"/>
      <c r="I898" s="11"/>
    </row>
    <row r="899" spans="3:9" ht="15.75" customHeight="1" x14ac:dyDescent="0.25">
      <c r="C899" s="11"/>
      <c r="I899" s="11"/>
    </row>
    <row r="900" spans="3:9" ht="15.75" customHeight="1" x14ac:dyDescent="0.25">
      <c r="C900" s="11"/>
      <c r="I900" s="11"/>
    </row>
    <row r="901" spans="3:9" ht="15.75" customHeight="1" x14ac:dyDescent="0.25">
      <c r="C901" s="11"/>
      <c r="I901" s="11"/>
    </row>
    <row r="902" spans="3:9" ht="15.75" customHeight="1" x14ac:dyDescent="0.25">
      <c r="C902" s="11"/>
      <c r="I902" s="11"/>
    </row>
    <row r="903" spans="3:9" ht="15.75" customHeight="1" x14ac:dyDescent="0.25">
      <c r="C903" s="11"/>
      <c r="I903" s="11"/>
    </row>
    <row r="904" spans="3:9" ht="15.75" customHeight="1" x14ac:dyDescent="0.25">
      <c r="C904" s="11"/>
      <c r="I904" s="11"/>
    </row>
    <row r="905" spans="3:9" ht="15.75" customHeight="1" x14ac:dyDescent="0.25">
      <c r="C905" s="11"/>
      <c r="I905" s="11"/>
    </row>
    <row r="906" spans="3:9" ht="15.75" customHeight="1" x14ac:dyDescent="0.25">
      <c r="C906" s="11"/>
      <c r="I906" s="11"/>
    </row>
    <row r="907" spans="3:9" ht="15.75" customHeight="1" x14ac:dyDescent="0.25">
      <c r="C907" s="11"/>
      <c r="I907" s="11"/>
    </row>
    <row r="908" spans="3:9" ht="15.75" customHeight="1" x14ac:dyDescent="0.25">
      <c r="C908" s="11"/>
      <c r="I908" s="11"/>
    </row>
    <row r="909" spans="3:9" ht="15.75" customHeight="1" x14ac:dyDescent="0.25">
      <c r="C909" s="11"/>
      <c r="I909" s="11"/>
    </row>
    <row r="910" spans="3:9" ht="15.75" customHeight="1" x14ac:dyDescent="0.25">
      <c r="C910" s="11"/>
      <c r="I910" s="11"/>
    </row>
    <row r="911" spans="3:9" ht="15.75" customHeight="1" x14ac:dyDescent="0.25">
      <c r="C911" s="11"/>
      <c r="I911" s="11"/>
    </row>
    <row r="912" spans="3:9" ht="15.75" customHeight="1" x14ac:dyDescent="0.25">
      <c r="C912" s="11"/>
      <c r="I912" s="11"/>
    </row>
    <row r="913" spans="3:9" ht="15.75" customHeight="1" x14ac:dyDescent="0.25">
      <c r="C913" s="11"/>
      <c r="I913" s="11"/>
    </row>
    <row r="914" spans="3:9" ht="15.75" customHeight="1" x14ac:dyDescent="0.25">
      <c r="C914" s="11"/>
      <c r="I914" s="11"/>
    </row>
    <row r="915" spans="3:9" ht="15.75" customHeight="1" x14ac:dyDescent="0.25">
      <c r="C915" s="11"/>
      <c r="I915" s="11"/>
    </row>
    <row r="916" spans="3:9" ht="15.75" customHeight="1" x14ac:dyDescent="0.25">
      <c r="C916" s="11"/>
      <c r="I916" s="11"/>
    </row>
    <row r="917" spans="3:9" ht="15.75" customHeight="1" x14ac:dyDescent="0.25">
      <c r="C917" s="11"/>
      <c r="I917" s="11"/>
    </row>
    <row r="918" spans="3:9" ht="15.75" customHeight="1" x14ac:dyDescent="0.25">
      <c r="C918" s="11"/>
      <c r="I918" s="11"/>
    </row>
    <row r="919" spans="3:9" ht="15.75" customHeight="1" x14ac:dyDescent="0.25">
      <c r="C919" s="11"/>
      <c r="I919" s="11"/>
    </row>
    <row r="920" spans="3:9" ht="15.75" customHeight="1" x14ac:dyDescent="0.25">
      <c r="C920" s="11"/>
      <c r="I920" s="11"/>
    </row>
    <row r="921" spans="3:9" ht="15.75" customHeight="1" x14ac:dyDescent="0.25">
      <c r="C921" s="11"/>
      <c r="I921" s="11"/>
    </row>
    <row r="922" spans="3:9" ht="15.75" customHeight="1" x14ac:dyDescent="0.25">
      <c r="C922" s="11"/>
      <c r="I922" s="11"/>
    </row>
    <row r="923" spans="3:9" ht="15.75" customHeight="1" x14ac:dyDescent="0.25">
      <c r="C923" s="11"/>
      <c r="I923" s="11"/>
    </row>
    <row r="924" spans="3:9" ht="15.75" customHeight="1" x14ac:dyDescent="0.25">
      <c r="C924" s="11"/>
      <c r="I924" s="11"/>
    </row>
    <row r="925" spans="3:9" ht="15.75" customHeight="1" x14ac:dyDescent="0.25">
      <c r="C925" s="11"/>
      <c r="I925" s="11"/>
    </row>
    <row r="926" spans="3:9" ht="15.75" customHeight="1" x14ac:dyDescent="0.25">
      <c r="C926" s="11"/>
      <c r="I926" s="11"/>
    </row>
    <row r="927" spans="3:9" ht="15.75" customHeight="1" x14ac:dyDescent="0.25">
      <c r="C927" s="11"/>
      <c r="I927" s="11"/>
    </row>
    <row r="928" spans="3:9" ht="15.75" customHeight="1" x14ac:dyDescent="0.25">
      <c r="C928" s="11"/>
      <c r="I928" s="11"/>
    </row>
    <row r="929" spans="3:9" ht="15.75" customHeight="1" x14ac:dyDescent="0.25">
      <c r="C929" s="11"/>
      <c r="I929" s="11"/>
    </row>
    <row r="930" spans="3:9" ht="15.75" customHeight="1" x14ac:dyDescent="0.25">
      <c r="C930" s="11"/>
      <c r="I930" s="11"/>
    </row>
    <row r="931" spans="3:9" ht="15.75" customHeight="1" x14ac:dyDescent="0.25">
      <c r="C931" s="11"/>
      <c r="I931" s="11"/>
    </row>
    <row r="932" spans="3:9" ht="15.75" customHeight="1" x14ac:dyDescent="0.25">
      <c r="C932" s="11"/>
      <c r="I932" s="11"/>
    </row>
    <row r="933" spans="3:9" ht="15.75" customHeight="1" x14ac:dyDescent="0.25">
      <c r="C933" s="11"/>
      <c r="I933" s="11"/>
    </row>
    <row r="934" spans="3:9" ht="15.75" customHeight="1" x14ac:dyDescent="0.25">
      <c r="C934" s="11"/>
      <c r="I934" s="11"/>
    </row>
    <row r="935" spans="3:9" ht="15.75" customHeight="1" x14ac:dyDescent="0.25">
      <c r="C935" s="11"/>
      <c r="I935" s="11"/>
    </row>
    <row r="936" spans="3:9" ht="15.75" customHeight="1" x14ac:dyDescent="0.25">
      <c r="C936" s="11"/>
      <c r="I936" s="11"/>
    </row>
    <row r="937" spans="3:9" ht="15.75" customHeight="1" x14ac:dyDescent="0.25">
      <c r="C937" s="11"/>
      <c r="I937" s="11"/>
    </row>
    <row r="938" spans="3:9" ht="15.75" customHeight="1" x14ac:dyDescent="0.25">
      <c r="C938" s="11"/>
      <c r="I938" s="11"/>
    </row>
    <row r="939" spans="3:9" ht="15.75" customHeight="1" x14ac:dyDescent="0.25">
      <c r="C939" s="11"/>
      <c r="I939" s="11"/>
    </row>
    <row r="940" spans="3:9" ht="15.75" customHeight="1" x14ac:dyDescent="0.25">
      <c r="C940" s="11"/>
      <c r="I940" s="11"/>
    </row>
    <row r="941" spans="3:9" ht="15.75" customHeight="1" x14ac:dyDescent="0.25">
      <c r="C941" s="11"/>
      <c r="I941" s="11"/>
    </row>
    <row r="942" spans="3:9" ht="15.75" customHeight="1" x14ac:dyDescent="0.25">
      <c r="C942" s="11"/>
      <c r="I942" s="11"/>
    </row>
    <row r="943" spans="3:9" ht="15.75" customHeight="1" x14ac:dyDescent="0.25">
      <c r="C943" s="11"/>
      <c r="I943" s="11"/>
    </row>
    <row r="944" spans="3:9" ht="15.75" customHeight="1" x14ac:dyDescent="0.25">
      <c r="C944" s="11"/>
      <c r="I944" s="11"/>
    </row>
    <row r="945" spans="3:9" ht="15.75" customHeight="1" x14ac:dyDescent="0.25">
      <c r="C945" s="11"/>
      <c r="I945" s="11"/>
    </row>
    <row r="946" spans="3:9" ht="15.75" customHeight="1" x14ac:dyDescent="0.25">
      <c r="C946" s="11"/>
      <c r="I946" s="11"/>
    </row>
    <row r="947" spans="3:9" ht="15.75" customHeight="1" x14ac:dyDescent="0.25">
      <c r="C947" s="11"/>
      <c r="I947" s="11"/>
    </row>
    <row r="948" spans="3:9" ht="15.75" customHeight="1" x14ac:dyDescent="0.25">
      <c r="C948" s="11"/>
      <c r="I948" s="11"/>
    </row>
    <row r="949" spans="3:9" ht="15.75" customHeight="1" x14ac:dyDescent="0.25">
      <c r="C949" s="11"/>
      <c r="I949" s="11"/>
    </row>
    <row r="950" spans="3:9" ht="15.75" customHeight="1" x14ac:dyDescent="0.25">
      <c r="C950" s="11"/>
      <c r="I950" s="11"/>
    </row>
    <row r="951" spans="3:9" ht="15.75" customHeight="1" x14ac:dyDescent="0.25">
      <c r="C951" s="11"/>
      <c r="I951" s="11"/>
    </row>
    <row r="952" spans="3:9" ht="15.75" customHeight="1" x14ac:dyDescent="0.25">
      <c r="C952" s="11"/>
      <c r="I952" s="11"/>
    </row>
    <row r="953" spans="3:9" ht="15.75" customHeight="1" x14ac:dyDescent="0.25">
      <c r="C953" s="11"/>
      <c r="I953" s="11"/>
    </row>
    <row r="954" spans="3:9" ht="15.75" customHeight="1" x14ac:dyDescent="0.25">
      <c r="C954" s="11"/>
      <c r="I954" s="11"/>
    </row>
    <row r="955" spans="3:9" ht="15.75" customHeight="1" x14ac:dyDescent="0.25">
      <c r="C955" s="11"/>
      <c r="I955" s="11"/>
    </row>
    <row r="956" spans="3:9" ht="15.75" customHeight="1" x14ac:dyDescent="0.25">
      <c r="C956" s="11"/>
      <c r="I956" s="11"/>
    </row>
    <row r="957" spans="3:9" ht="15.75" customHeight="1" x14ac:dyDescent="0.25">
      <c r="C957" s="11"/>
      <c r="I957" s="11"/>
    </row>
    <row r="958" spans="3:9" ht="15.75" customHeight="1" x14ac:dyDescent="0.25">
      <c r="C958" s="11"/>
      <c r="I958" s="11"/>
    </row>
    <row r="959" spans="3:9" ht="15.75" customHeight="1" x14ac:dyDescent="0.25">
      <c r="C959" s="11"/>
      <c r="I959" s="11"/>
    </row>
    <row r="960" spans="3:9" ht="15.75" customHeight="1" x14ac:dyDescent="0.25">
      <c r="C960" s="11"/>
      <c r="I960" s="11"/>
    </row>
    <row r="961" spans="3:9" ht="15.75" customHeight="1" x14ac:dyDescent="0.25">
      <c r="C961" s="11"/>
      <c r="I961" s="11"/>
    </row>
    <row r="962" spans="3:9" ht="15.75" customHeight="1" x14ac:dyDescent="0.25">
      <c r="C962" s="11"/>
      <c r="I962" s="11"/>
    </row>
    <row r="963" spans="3:9" ht="15.75" customHeight="1" x14ac:dyDescent="0.25">
      <c r="C963" s="11"/>
      <c r="I963" s="11"/>
    </row>
    <row r="964" spans="3:9" ht="15.75" customHeight="1" x14ac:dyDescent="0.25">
      <c r="C964" s="11"/>
      <c r="I964" s="11"/>
    </row>
    <row r="965" spans="3:9" ht="15.75" customHeight="1" x14ac:dyDescent="0.25">
      <c r="C965" s="11"/>
      <c r="I965" s="11"/>
    </row>
    <row r="966" spans="3:9" ht="15.75" customHeight="1" x14ac:dyDescent="0.25">
      <c r="C966" s="11"/>
      <c r="I966" s="11"/>
    </row>
    <row r="967" spans="3:9" ht="15.75" customHeight="1" x14ac:dyDescent="0.25">
      <c r="C967" s="11"/>
      <c r="I967" s="11"/>
    </row>
    <row r="968" spans="3:9" ht="15.75" customHeight="1" x14ac:dyDescent="0.25">
      <c r="C968" s="11"/>
      <c r="I968" s="11"/>
    </row>
    <row r="969" spans="3:9" ht="15.75" customHeight="1" x14ac:dyDescent="0.25">
      <c r="C969" s="11"/>
      <c r="I969" s="11"/>
    </row>
    <row r="970" spans="3:9" ht="15.75" customHeight="1" x14ac:dyDescent="0.25">
      <c r="C970" s="11"/>
      <c r="I970" s="11"/>
    </row>
    <row r="971" spans="3:9" ht="15.75" customHeight="1" x14ac:dyDescent="0.25">
      <c r="C971" s="11"/>
      <c r="I971" s="11"/>
    </row>
    <row r="972" spans="3:9" ht="15.75" customHeight="1" x14ac:dyDescent="0.25">
      <c r="C972" s="11"/>
      <c r="I972" s="11"/>
    </row>
    <row r="973" spans="3:9" ht="15.75" customHeight="1" x14ac:dyDescent="0.25">
      <c r="C973" s="11"/>
      <c r="I973" s="11"/>
    </row>
    <row r="974" spans="3:9" ht="15.75" customHeight="1" x14ac:dyDescent="0.25">
      <c r="C974" s="11"/>
      <c r="I974" s="11"/>
    </row>
    <row r="975" spans="3:9" ht="15.75" customHeight="1" x14ac:dyDescent="0.25">
      <c r="C975" s="11"/>
      <c r="I975" s="11"/>
    </row>
    <row r="976" spans="3:9" ht="15.75" customHeight="1" x14ac:dyDescent="0.25">
      <c r="C976" s="11"/>
      <c r="I976" s="11"/>
    </row>
    <row r="977" spans="3:9" ht="15.75" customHeight="1" x14ac:dyDescent="0.25">
      <c r="C977" s="11"/>
      <c r="I977" s="11"/>
    </row>
    <row r="978" spans="3:9" ht="15.75" customHeight="1" x14ac:dyDescent="0.25">
      <c r="C978" s="11"/>
      <c r="I978" s="11"/>
    </row>
    <row r="979" spans="3:9" ht="15.75" customHeight="1" x14ac:dyDescent="0.25">
      <c r="C979" s="11"/>
      <c r="I979" s="11"/>
    </row>
    <row r="980" spans="3:9" ht="15.75" customHeight="1" x14ac:dyDescent="0.25">
      <c r="C980" s="11"/>
      <c r="I980" s="11"/>
    </row>
    <row r="981" spans="3:9" ht="15.75" customHeight="1" x14ac:dyDescent="0.25">
      <c r="C981" s="11"/>
      <c r="I981" s="11"/>
    </row>
    <row r="982" spans="3:9" ht="15.75" customHeight="1" x14ac:dyDescent="0.25">
      <c r="C982" s="11"/>
      <c r="I982" s="11"/>
    </row>
    <row r="983" spans="3:9" ht="15.75" customHeight="1" x14ac:dyDescent="0.25">
      <c r="C983" s="11"/>
      <c r="I983" s="11"/>
    </row>
    <row r="984" spans="3:9" ht="15.75" customHeight="1" x14ac:dyDescent="0.25">
      <c r="C984" s="11"/>
      <c r="I984" s="11"/>
    </row>
    <row r="985" spans="3:9" ht="15.75" customHeight="1" x14ac:dyDescent="0.25">
      <c r="C985" s="11"/>
      <c r="I985" s="11"/>
    </row>
    <row r="986" spans="3:9" ht="15.75" customHeight="1" x14ac:dyDescent="0.25">
      <c r="C986" s="11"/>
      <c r="I986" s="11"/>
    </row>
    <row r="987" spans="3:9" ht="15.75" customHeight="1" x14ac:dyDescent="0.25">
      <c r="C987" s="11"/>
      <c r="I987" s="11"/>
    </row>
    <row r="988" spans="3:9" ht="15.75" customHeight="1" x14ac:dyDescent="0.25">
      <c r="C988" s="11"/>
      <c r="I988" s="11"/>
    </row>
    <row r="989" spans="3:9" ht="15.75" customHeight="1" x14ac:dyDescent="0.25">
      <c r="C989" s="11"/>
      <c r="I989" s="11"/>
    </row>
    <row r="990" spans="3:9" ht="15.75" customHeight="1" x14ac:dyDescent="0.25">
      <c r="C990" s="11"/>
      <c r="I990" s="11"/>
    </row>
    <row r="991" spans="3:9" ht="15.75" customHeight="1" x14ac:dyDescent="0.25">
      <c r="C991" s="11"/>
      <c r="I991" s="11"/>
    </row>
    <row r="992" spans="3:9" ht="15.75" customHeight="1" x14ac:dyDescent="0.25">
      <c r="C992" s="11"/>
      <c r="I992" s="11"/>
    </row>
    <row r="993" spans="3:9" ht="15.75" customHeight="1" x14ac:dyDescent="0.25">
      <c r="C993" s="11"/>
      <c r="I993" s="11"/>
    </row>
    <row r="994" spans="3:9" ht="15.75" customHeight="1" x14ac:dyDescent="0.25">
      <c r="C994" s="11"/>
      <c r="I994" s="11"/>
    </row>
    <row r="995" spans="3:9" ht="15.75" customHeight="1" x14ac:dyDescent="0.25">
      <c r="C995" s="11"/>
      <c r="I995" s="11"/>
    </row>
    <row r="996" spans="3:9" ht="15.75" customHeight="1" x14ac:dyDescent="0.25">
      <c r="C996" s="11"/>
      <c r="I996" s="11"/>
    </row>
    <row r="997" spans="3:9" ht="15.75" customHeight="1" x14ac:dyDescent="0.25">
      <c r="C997" s="11"/>
      <c r="I997" s="11"/>
    </row>
  </sheetData>
  <mergeCells count="8">
    <mergeCell ref="J15:J17"/>
    <mergeCell ref="I15:I17"/>
    <mergeCell ref="H15:H17"/>
    <mergeCell ref="B9:B10"/>
    <mergeCell ref="A15:A17"/>
    <mergeCell ref="B15:B17"/>
    <mergeCell ref="C15:C17"/>
    <mergeCell ref="D15:D17"/>
  </mergeCells>
  <phoneticPr fontId="21" type="noConversion"/>
  <conditionalFormatting sqref="I10:I11">
    <cfRule type="cellIs" dxfId="3" priority="3" operator="between">
      <formula>1</formula>
      <formula>1</formula>
    </cfRule>
  </conditionalFormatting>
  <conditionalFormatting sqref="I10:I11">
    <cfRule type="cellIs" dxfId="2" priority="4" operator="between">
      <formula>96</formula>
      <formula>1</formula>
    </cfRule>
  </conditionalFormatting>
  <conditionalFormatting sqref="I20">
    <cfRule type="cellIs" dxfId="1" priority="1" operator="between">
      <formula>1</formula>
      <formula>1</formula>
    </cfRule>
  </conditionalFormatting>
  <conditionalFormatting sqref="I20">
    <cfRule type="cellIs" dxfId="0" priority="2" operator="between">
      <formula>96</formula>
      <formula>1</formula>
    </cfRule>
  </conditionalFormatting>
  <pageMargins left="0.7" right="0.7" top="0.75" bottom="0.75" header="0" footer="0"/>
  <pageSetup orientation="landscape"/>
  <rowBreaks count="1" manualBreakCount="1">
    <brk id="2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12.7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77" t="str">
        <f>'Lista de Indicadores'!D9</f>
        <v>Indice de quejas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Indicadores'!E9</f>
        <v>(Nro. quejas atendidas a tiempo/Nro. total de quejas reportadas)*100</v>
      </c>
      <c r="G3" s="84"/>
      <c r="H3" s="85"/>
      <c r="I3" s="20" t="str">
        <f>IFERROR(AVERAGE(C8:N8),"-")</f>
        <v>-</v>
      </c>
      <c r="J3" s="21">
        <f>'Lista de Indicadores'!H9</f>
        <v>0.8</v>
      </c>
      <c r="K3" s="21">
        <v>0.3</v>
      </c>
      <c r="L3" s="21">
        <v>0.3</v>
      </c>
      <c r="M3" s="21">
        <v>0.4</v>
      </c>
      <c r="N3" s="22" t="str">
        <f>'Lista de Indicadores'!J9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28.5" customHeight="1" x14ac:dyDescent="0.25">
      <c r="A6" s="12"/>
      <c r="B6" s="28" t="str">
        <f>'Lista de Indicadores'!F9</f>
        <v>Nro. quejas atendidas a tiempo</v>
      </c>
      <c r="C6" s="29" t="s">
        <v>45</v>
      </c>
      <c r="D6" s="29" t="s">
        <v>45</v>
      </c>
      <c r="E6" s="29" t="s">
        <v>45</v>
      </c>
      <c r="F6" s="29" t="s">
        <v>45</v>
      </c>
      <c r="G6" s="29" t="s">
        <v>45</v>
      </c>
      <c r="H6" s="29" t="s">
        <v>45</v>
      </c>
      <c r="I6" s="30"/>
      <c r="J6" s="30"/>
      <c r="K6" s="30"/>
      <c r="L6" s="30"/>
      <c r="M6" s="30"/>
      <c r="N6" s="30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28.5" customHeight="1" x14ac:dyDescent="0.25">
      <c r="A7" s="12"/>
      <c r="B7" s="28" t="str">
        <f>'Lista de Indicadores'!G9</f>
        <v>Nro. total de quejas reportadas</v>
      </c>
      <c r="C7" s="29" t="s">
        <v>45</v>
      </c>
      <c r="D7" s="29" t="s">
        <v>45</v>
      </c>
      <c r="E7" s="29" t="s">
        <v>45</v>
      </c>
      <c r="F7" s="29" t="s">
        <v>45</v>
      </c>
      <c r="G7" s="29" t="s">
        <v>45</v>
      </c>
      <c r="H7" s="29" t="s">
        <v>45</v>
      </c>
      <c r="I7" s="30"/>
      <c r="J7" s="30"/>
      <c r="K7" s="30"/>
      <c r="L7" s="30"/>
      <c r="M7" s="30"/>
      <c r="N7" s="30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 t="str">
        <f t="shared" ref="C8:N8" si="0">IFERROR(IF(ISBLANK(C7),"",C6/C7),"-")</f>
        <v>-</v>
      </c>
      <c r="D8" s="32" t="str">
        <f t="shared" si="0"/>
        <v>-</v>
      </c>
      <c r="E8" s="32" t="str">
        <f t="shared" si="0"/>
        <v>-</v>
      </c>
      <c r="F8" s="32" t="str">
        <f t="shared" si="0"/>
        <v>-</v>
      </c>
      <c r="G8" s="32" t="str">
        <f t="shared" si="0"/>
        <v>-</v>
      </c>
      <c r="H8" s="32" t="str">
        <f t="shared" si="0"/>
        <v>-</v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5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2" workbookViewId="0">
      <selection activeCell="G6" sqref="G6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9" width="11.85546875" customWidth="1"/>
    <col min="10" max="10" width="13.85546875" customWidth="1"/>
    <col min="11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Indicadores'!D10</f>
        <v>índice de satisfacción del cliente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58.5" customHeight="1" x14ac:dyDescent="0.25">
      <c r="A3" s="12"/>
      <c r="B3" s="76"/>
      <c r="C3" s="80"/>
      <c r="D3" s="81"/>
      <c r="E3" s="82"/>
      <c r="F3" s="86" t="str">
        <f>'Lista de Indicadores'!E10</f>
        <v>(Nro. clientes satisfechos /Nro.  total de clientes encuestados )*100</v>
      </c>
      <c r="G3" s="84"/>
      <c r="H3" s="85"/>
      <c r="I3" s="20">
        <f>IFERROR(AVERAGE(C8:N8),"-")</f>
        <v>1</v>
      </c>
      <c r="J3" s="21" t="str">
        <f>'Lista de Indicadores'!H10</f>
        <v>[90%-100%]</v>
      </c>
      <c r="K3" s="48">
        <v>0.6</v>
      </c>
      <c r="L3" s="48">
        <v>0.5</v>
      </c>
      <c r="M3" s="48">
        <v>0.3</v>
      </c>
      <c r="N3" s="49" t="s">
        <v>84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50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Indicadores'!F10</f>
        <v xml:space="preserve">Nro. clientes satisfechos </v>
      </c>
      <c r="C6" s="29"/>
      <c r="D6" s="29">
        <v>2</v>
      </c>
      <c r="E6" s="29">
        <v>2</v>
      </c>
      <c r="F6" s="29">
        <v>5</v>
      </c>
      <c r="G6" s="29">
        <v>4</v>
      </c>
      <c r="H6" s="29">
        <v>1</v>
      </c>
      <c r="I6" s="29"/>
      <c r="J6" s="29"/>
      <c r="K6" s="29"/>
      <c r="L6" s="29"/>
      <c r="M6" s="29"/>
      <c r="N6" s="29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Indicadores'!G10</f>
        <v>Nro.  total de clientes encuestados</v>
      </c>
      <c r="C7" s="29"/>
      <c r="D7" s="29">
        <v>2</v>
      </c>
      <c r="E7" s="29">
        <v>2</v>
      </c>
      <c r="F7" s="29">
        <v>5</v>
      </c>
      <c r="G7" s="29">
        <v>4</v>
      </c>
      <c r="H7" s="29">
        <v>1</v>
      </c>
      <c r="I7" s="29"/>
      <c r="J7" s="29"/>
      <c r="K7" s="29"/>
      <c r="L7" s="29"/>
      <c r="M7" s="29"/>
      <c r="N7" s="29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 t="str">
        <f t="shared" ref="C8:N8" si="0">IFERROR(IF(ISBLANK(C7),"",C6/C7),"-")</f>
        <v/>
      </c>
      <c r="D8" s="32">
        <f t="shared" si="0"/>
        <v>1</v>
      </c>
      <c r="E8" s="32">
        <f t="shared" si="0"/>
        <v>1</v>
      </c>
      <c r="F8" s="32">
        <f t="shared" si="0"/>
        <v>1</v>
      </c>
      <c r="G8" s="32">
        <f t="shared" si="0"/>
        <v>1</v>
      </c>
      <c r="H8" s="32">
        <f t="shared" si="0"/>
        <v>1</v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31:G31"/>
    <mergeCell ref="H31:I31"/>
    <mergeCell ref="B2:B3"/>
    <mergeCell ref="C2:E3"/>
    <mergeCell ref="F2:H2"/>
    <mergeCell ref="F3:H3"/>
    <mergeCell ref="C4:N4"/>
    <mergeCell ref="C38:G38"/>
    <mergeCell ref="H38:I38"/>
    <mergeCell ref="C42:G42"/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H35:I35"/>
    <mergeCell ref="C35:G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</mergeCells>
  <pageMargins left="0.75" right="0.75" top="1" bottom="1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selection activeCell="G8" sqref="G8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Indicadores'!D11</f>
        <v>Cumplimiento de pedidos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58.5" customHeight="1" x14ac:dyDescent="0.25">
      <c r="A3" s="12"/>
      <c r="B3" s="76"/>
      <c r="C3" s="80"/>
      <c r="D3" s="81"/>
      <c r="E3" s="82"/>
      <c r="F3" s="86" t="str">
        <f>'Lista de Indicadores'!E11</f>
        <v>(Nro. pedidos atendidos dentro de plazo de atención/Nro. total de pedidos recepcionados por el cliente)*100</v>
      </c>
      <c r="G3" s="84"/>
      <c r="H3" s="85"/>
      <c r="I3" s="20">
        <f>IFERROR(AVERAGE(C8:N8),"-")</f>
        <v>1</v>
      </c>
      <c r="J3" s="21" t="str">
        <f>'Lista de Indicadores'!H11</f>
        <v>[90%-100%]</v>
      </c>
      <c r="K3" s="21">
        <v>0.3</v>
      </c>
      <c r="L3" s="21">
        <v>0.3</v>
      </c>
      <c r="M3" s="21">
        <v>0.4</v>
      </c>
      <c r="N3" s="22" t="str">
        <f>'Lista de Indicadores'!J11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50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Indicadores'!F11</f>
        <v>Nro. pedidos atendidos dentro de plazo de atención</v>
      </c>
      <c r="C6" s="29">
        <v>3</v>
      </c>
      <c r="D6" s="29">
        <v>6</v>
      </c>
      <c r="E6" s="29">
        <v>5</v>
      </c>
      <c r="F6" s="29">
        <v>7</v>
      </c>
      <c r="G6" s="29">
        <v>5</v>
      </c>
      <c r="H6" s="29"/>
      <c r="I6" s="29"/>
      <c r="J6" s="29"/>
      <c r="K6" s="29"/>
      <c r="L6" s="29"/>
      <c r="M6" s="29"/>
      <c r="N6" s="29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Indicadores'!G11</f>
        <v>Nro. total de pedidos recepcionados por el cliente</v>
      </c>
      <c r="C7" s="29">
        <v>3</v>
      </c>
      <c r="D7" s="29">
        <v>6</v>
      </c>
      <c r="E7" s="29">
        <v>5</v>
      </c>
      <c r="F7" s="29">
        <v>7</v>
      </c>
      <c r="G7" s="29">
        <v>5</v>
      </c>
      <c r="H7" s="29"/>
      <c r="I7" s="29"/>
      <c r="J7" s="29"/>
      <c r="K7" s="29"/>
      <c r="L7" s="29"/>
      <c r="M7" s="29"/>
      <c r="N7" s="29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>
        <f t="shared" ref="C8:N8" si="0">IFERROR(IF(ISBLANK(C7),"",C6/C7),"-")</f>
        <v>1</v>
      </c>
      <c r="D8" s="32">
        <f t="shared" si="0"/>
        <v>1</v>
      </c>
      <c r="E8" s="32">
        <f t="shared" si="0"/>
        <v>1</v>
      </c>
      <c r="F8" s="32">
        <f t="shared" si="0"/>
        <v>1</v>
      </c>
      <c r="G8" s="32">
        <f t="shared" si="0"/>
        <v>1</v>
      </c>
      <c r="H8" s="32" t="str">
        <f t="shared" si="0"/>
        <v/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/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Indicadores'!D12</f>
        <v>Cumplimiento de mantenimientos programados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Indicadores'!E12</f>
        <v>(Nro. mantenimientos ejecutadas dentro del plazo/Nro. total de mantenimientos programados)*100</v>
      </c>
      <c r="G3" s="84"/>
      <c r="H3" s="85"/>
      <c r="I3" s="20">
        <f>IFERROR(AVERAGE(C8:N8),"-")</f>
        <v>1</v>
      </c>
      <c r="J3" s="21">
        <f>'Lista de Indicadores'!H12</f>
        <v>0.8</v>
      </c>
      <c r="K3" s="21">
        <v>0.3</v>
      </c>
      <c r="L3" s="21">
        <v>0.3</v>
      </c>
      <c r="M3" s="21">
        <v>0.4</v>
      </c>
      <c r="N3" s="22" t="str">
        <f>'Lista de Indicadores'!J12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Indicadores'!F12</f>
        <v>Nro. mantenimientos ejecutadas dentro del plazo</v>
      </c>
      <c r="C6" s="29">
        <v>14</v>
      </c>
      <c r="D6" s="29" t="s">
        <v>45</v>
      </c>
      <c r="E6" s="29" t="s">
        <v>45</v>
      </c>
      <c r="F6" s="29">
        <v>0</v>
      </c>
      <c r="G6" s="29">
        <v>0</v>
      </c>
      <c r="H6" s="29">
        <v>0</v>
      </c>
      <c r="I6" s="30"/>
      <c r="J6" s="30"/>
      <c r="K6" s="30"/>
      <c r="L6" s="30"/>
      <c r="M6" s="30"/>
      <c r="N6" s="30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Indicadores'!G12</f>
        <v>Nro. total de mantenimientos programados</v>
      </c>
      <c r="C7" s="29">
        <v>14</v>
      </c>
      <c r="D7" s="29" t="s">
        <v>45</v>
      </c>
      <c r="E7" s="29" t="s">
        <v>45</v>
      </c>
      <c r="F7" s="29">
        <v>0</v>
      </c>
      <c r="G7" s="29">
        <v>0</v>
      </c>
      <c r="H7" s="29">
        <v>0</v>
      </c>
      <c r="I7" s="30"/>
      <c r="J7" s="30"/>
      <c r="K7" s="30"/>
      <c r="L7" s="30"/>
      <c r="M7" s="30"/>
      <c r="N7" s="30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>
        <f t="shared" ref="C8:N8" si="0">IFERROR(IF(ISBLANK(C7),"",C6/C7),"-")</f>
        <v>1</v>
      </c>
      <c r="D8" s="32" t="str">
        <f t="shared" si="0"/>
        <v>-</v>
      </c>
      <c r="E8" s="32" t="str">
        <f t="shared" si="0"/>
        <v>-</v>
      </c>
      <c r="F8" s="32" t="str">
        <f t="shared" si="0"/>
        <v>-</v>
      </c>
      <c r="G8" s="32" t="str">
        <f t="shared" si="0"/>
        <v>-</v>
      </c>
      <c r="H8" s="32" t="str">
        <f t="shared" si="0"/>
        <v>-</v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abSelected="1" workbookViewId="0">
      <selection activeCell="M8" sqref="M8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Indicadores'!D13</f>
        <v>Cumplimiento del programa de capacitación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Indicadores'!E13</f>
        <v>(Nro. capacitaciones ejecutadas dentro del plazo/Nro. total de capacitaciones programadas)*100</v>
      </c>
      <c r="G3" s="84"/>
      <c r="H3" s="85"/>
      <c r="I3" s="20">
        <f>IFERROR(AVERAGE(C8:N8),"-")</f>
        <v>1</v>
      </c>
      <c r="J3" s="21" t="str">
        <f>'Lista de Indicadores'!H13</f>
        <v>[90%-100%]</v>
      </c>
      <c r="K3" s="21">
        <v>0.3</v>
      </c>
      <c r="L3" s="21">
        <v>0.3</v>
      </c>
      <c r="M3" s="21">
        <v>0.4</v>
      </c>
      <c r="N3" s="22" t="str">
        <f>'Lista de Indicadores'!J13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Indicadores'!F13</f>
        <v>Nro. capacitaciones ejecutadas dentro del plazo</v>
      </c>
      <c r="C6" s="29">
        <v>1</v>
      </c>
      <c r="D6" s="29">
        <v>2</v>
      </c>
      <c r="E6" s="29">
        <v>1</v>
      </c>
      <c r="F6" s="29">
        <v>2</v>
      </c>
      <c r="G6" s="29">
        <v>0</v>
      </c>
      <c r="H6" s="29">
        <v>3</v>
      </c>
      <c r="I6" s="30">
        <v>1</v>
      </c>
      <c r="J6" s="30"/>
      <c r="K6" s="30">
        <v>1</v>
      </c>
      <c r="L6" s="30">
        <v>3</v>
      </c>
      <c r="M6" s="30"/>
      <c r="N6" s="30">
        <v>1</v>
      </c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Indicadores'!G13</f>
        <v>Nro. total de capacitaciones programadas</v>
      </c>
      <c r="C7" s="29">
        <v>1</v>
      </c>
      <c r="D7" s="29">
        <v>2</v>
      </c>
      <c r="E7" s="29">
        <v>1</v>
      </c>
      <c r="F7" s="29">
        <v>2</v>
      </c>
      <c r="G7" s="29">
        <v>0</v>
      </c>
      <c r="H7" s="29">
        <v>3</v>
      </c>
      <c r="I7" s="30">
        <v>1</v>
      </c>
      <c r="J7" s="30"/>
      <c r="K7" s="30">
        <v>1</v>
      </c>
      <c r="L7" s="30">
        <v>3</v>
      </c>
      <c r="M7" s="30"/>
      <c r="N7" s="30">
        <v>0</v>
      </c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>
        <f t="shared" ref="C8:N8" si="0">IFERROR(IF(ISBLANK(C7),"",C6/C7),"-")</f>
        <v>1</v>
      </c>
      <c r="D8" s="32">
        <f t="shared" si="0"/>
        <v>1</v>
      </c>
      <c r="E8" s="32">
        <f t="shared" si="0"/>
        <v>1</v>
      </c>
      <c r="F8" s="32">
        <f t="shared" si="0"/>
        <v>1</v>
      </c>
      <c r="G8" s="32" t="str">
        <f t="shared" si="0"/>
        <v>-</v>
      </c>
      <c r="H8" s="32">
        <f t="shared" si="0"/>
        <v>1</v>
      </c>
      <c r="I8" s="32">
        <f t="shared" si="0"/>
        <v>1</v>
      </c>
      <c r="J8" s="32" t="str">
        <f t="shared" si="0"/>
        <v/>
      </c>
      <c r="K8" s="32">
        <f t="shared" si="0"/>
        <v>1</v>
      </c>
      <c r="L8" s="32">
        <f t="shared" si="0"/>
        <v>1</v>
      </c>
      <c r="M8" s="32" t="str">
        <f t="shared" si="0"/>
        <v/>
      </c>
      <c r="N8" s="32" t="str">
        <f t="shared" si="0"/>
        <v>-</v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selection activeCell="N7" sqref="N7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Indicadores'!D14</f>
        <v>Reducción de incidentes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Indicadores'!E14</f>
        <v>(Nro. De correcciones inmediatas/Nro. de incidentes  )*100</v>
      </c>
      <c r="G3" s="84"/>
      <c r="H3" s="85"/>
      <c r="I3" s="20">
        <f>IFERROR(AVERAGE(C8:N8),"-")</f>
        <v>1</v>
      </c>
      <c r="J3" s="21">
        <f>'Lista de Indicadores'!H15</f>
        <v>0.7</v>
      </c>
      <c r="K3" s="21">
        <v>0.3</v>
      </c>
      <c r="L3" s="21">
        <v>0.3</v>
      </c>
      <c r="M3" s="21">
        <v>0.4</v>
      </c>
      <c r="N3" s="22" t="str">
        <f>'Lista de Indicadores'!J15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26.25" customHeight="1" x14ac:dyDescent="0.25">
      <c r="A6" s="12"/>
      <c r="B6" s="28" t="str">
        <f>'Lista de Indicadores'!F14</f>
        <v>Nro. de incidentes ocurridos</v>
      </c>
      <c r="C6" s="29">
        <v>2</v>
      </c>
      <c r="D6" s="29">
        <v>1</v>
      </c>
      <c r="E6" s="29"/>
      <c r="F6" s="29">
        <v>1</v>
      </c>
      <c r="G6" s="29">
        <v>3</v>
      </c>
      <c r="H6" s="29">
        <v>2</v>
      </c>
      <c r="I6" s="29">
        <v>1</v>
      </c>
      <c r="J6" s="29" t="s">
        <v>45</v>
      </c>
      <c r="K6" s="29">
        <v>1</v>
      </c>
      <c r="L6" s="29">
        <v>1</v>
      </c>
      <c r="M6" s="29">
        <v>1</v>
      </c>
      <c r="N6" s="29" t="s">
        <v>45</v>
      </c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25.5" customHeight="1" x14ac:dyDescent="0.25">
      <c r="A7" s="12"/>
      <c r="B7" s="28" t="str">
        <f>'Lista de Indicadores'!G14</f>
        <v>Nro. de correciones inmediatas</v>
      </c>
      <c r="C7" s="29">
        <v>2</v>
      </c>
      <c r="D7" s="29">
        <v>1</v>
      </c>
      <c r="E7" s="29"/>
      <c r="F7" s="29">
        <v>1</v>
      </c>
      <c r="G7" s="29">
        <v>3</v>
      </c>
      <c r="H7" s="29">
        <v>2</v>
      </c>
      <c r="I7" s="29">
        <v>1</v>
      </c>
      <c r="J7" s="29" t="s">
        <v>45</v>
      </c>
      <c r="K7" s="29">
        <v>1</v>
      </c>
      <c r="L7" s="29">
        <v>1</v>
      </c>
      <c r="M7" s="29">
        <v>1</v>
      </c>
      <c r="N7" s="29" t="s">
        <v>45</v>
      </c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>
        <f t="shared" ref="C8:N8" si="0">IFERROR(IF(ISBLANK(C7),"",C7/C6),"-")</f>
        <v>1</v>
      </c>
      <c r="D8" s="32">
        <f t="shared" si="0"/>
        <v>1</v>
      </c>
      <c r="E8" s="32" t="str">
        <f t="shared" si="0"/>
        <v/>
      </c>
      <c r="F8" s="32">
        <f t="shared" si="0"/>
        <v>1</v>
      </c>
      <c r="G8" s="32">
        <f t="shared" si="0"/>
        <v>1</v>
      </c>
      <c r="H8" s="32">
        <f t="shared" si="0"/>
        <v>1</v>
      </c>
      <c r="I8" s="32">
        <f t="shared" si="0"/>
        <v>1</v>
      </c>
      <c r="J8" s="32" t="str">
        <f t="shared" si="0"/>
        <v>-</v>
      </c>
      <c r="K8" s="32">
        <f t="shared" si="0"/>
        <v>1</v>
      </c>
      <c r="L8" s="32">
        <f t="shared" si="0"/>
        <v>1</v>
      </c>
      <c r="M8" s="32">
        <f t="shared" si="0"/>
        <v>1</v>
      </c>
      <c r="N8" s="32" t="str">
        <f t="shared" si="0"/>
        <v>-</v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5.75" customHeight="1" x14ac:dyDescent="0.25"/>
    <row r="245" spans="1:27" ht="15.75" customHeight="1" x14ac:dyDescent="0.25"/>
    <row r="246" spans="1:27" ht="15.75" customHeight="1" x14ac:dyDescent="0.25"/>
    <row r="247" spans="1:27" ht="15.75" customHeight="1" x14ac:dyDescent="0.25"/>
    <row r="248" spans="1:27" ht="15.75" customHeight="1" x14ac:dyDescent="0.25"/>
    <row r="249" spans="1:27" ht="15.75" customHeight="1" x14ac:dyDescent="0.25"/>
    <row r="250" spans="1:27" ht="15.75" customHeight="1" x14ac:dyDescent="0.25"/>
    <row r="251" spans="1:27" ht="15.75" customHeight="1" x14ac:dyDescent="0.25"/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4"/>
  <sheetViews>
    <sheetView workbookViewId="0">
      <selection activeCell="H8" sqref="H8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4" width="11.85546875" customWidth="1"/>
    <col min="5" max="5" width="24.42578125" customWidth="1"/>
    <col min="6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Indicadores'!D15</f>
        <v xml:space="preserve">Indicador de accidentes
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Indicadores'!E16</f>
        <v>Indicador de severidad (IS)= Nro de días perdidos / (Horas-hombre trabajadas)x 10^6</v>
      </c>
      <c r="G3" s="84"/>
      <c r="H3" s="85"/>
      <c r="I3" s="20">
        <f>IFERROR(AVERAGE(C12:N12),"-")</f>
        <v>8.4371439525252029E-2</v>
      </c>
      <c r="J3" s="21">
        <f>'Lista de Indicadores'!H15</f>
        <v>0.7</v>
      </c>
      <c r="K3" s="21">
        <v>0.3</v>
      </c>
      <c r="L3" s="21">
        <v>0.3</v>
      </c>
      <c r="M3" s="21">
        <v>0.4</v>
      </c>
      <c r="N3" s="22" t="str">
        <f>'Lista de Indicadores'!J15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28.5" customHeight="1" x14ac:dyDescent="0.25">
      <c r="A6" s="94" t="s">
        <v>94</v>
      </c>
      <c r="B6" s="25" t="str">
        <f>'Lista de Indicadores'!F15</f>
        <v>Nro. De accidentes de trabajo</v>
      </c>
      <c r="C6" s="26"/>
      <c r="D6" s="26"/>
      <c r="E6" s="26">
        <v>1</v>
      </c>
      <c r="F6" s="26"/>
      <c r="G6" s="26"/>
      <c r="H6" s="26"/>
      <c r="I6" s="26"/>
      <c r="J6" s="26"/>
      <c r="K6" s="26"/>
      <c r="L6" s="26"/>
      <c r="M6" s="26"/>
      <c r="N6" s="26"/>
      <c r="O6" s="27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28.5" customHeight="1" x14ac:dyDescent="0.25">
      <c r="A7" s="94"/>
      <c r="B7" s="25" t="str">
        <f>'Lista de Indicadores'!G15</f>
        <v>Horas-Hombre trabajadas</v>
      </c>
      <c r="C7" s="26"/>
      <c r="D7" s="26"/>
      <c r="E7" s="26">
        <f>19*8*30</f>
        <v>4560</v>
      </c>
      <c r="F7" s="26"/>
      <c r="G7" s="26"/>
      <c r="H7" s="26"/>
      <c r="I7" s="26"/>
      <c r="J7" s="26"/>
      <c r="K7" s="26"/>
      <c r="L7" s="26"/>
      <c r="M7" s="26"/>
      <c r="N7" s="26"/>
      <c r="O7" s="27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8.5" customHeight="1" x14ac:dyDescent="0.25">
      <c r="A8" s="94" t="s">
        <v>100</v>
      </c>
      <c r="B8" s="25" t="str">
        <f>'Lista de Indicadores'!F16</f>
        <v xml:space="preserve"> Nro de días perdidos</v>
      </c>
      <c r="C8" s="26"/>
      <c r="D8" s="26"/>
      <c r="E8" s="26">
        <f>1/(19*30)</f>
        <v>1.7543859649122807E-3</v>
      </c>
      <c r="F8" s="26"/>
      <c r="G8" s="26"/>
      <c r="H8" s="26"/>
      <c r="I8" s="26"/>
      <c r="J8" s="26"/>
      <c r="K8" s="26"/>
      <c r="L8" s="26"/>
      <c r="M8" s="26"/>
      <c r="N8" s="26"/>
      <c r="O8" s="27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28.5" customHeight="1" x14ac:dyDescent="0.25">
      <c r="A9" s="94"/>
      <c r="B9" s="25" t="str">
        <f>'Lista de Indicadores'!G16</f>
        <v>Horas-hombre trabajadas</v>
      </c>
      <c r="C9" s="26"/>
      <c r="D9" s="26"/>
      <c r="E9" s="26">
        <f>E7</f>
        <v>4560</v>
      </c>
      <c r="F9" s="26"/>
      <c r="G9" s="26"/>
      <c r="H9" s="26"/>
      <c r="I9" s="26"/>
      <c r="J9" s="26"/>
      <c r="K9" s="26"/>
      <c r="L9" s="26"/>
      <c r="M9" s="26"/>
      <c r="N9" s="26"/>
      <c r="O9" s="27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26.25" customHeight="1" x14ac:dyDescent="0.25">
      <c r="A10" s="12"/>
      <c r="B10" s="28" t="str">
        <f>'Lista de Indicadores'!F17</f>
        <v>Indicador de frecuencia (IF)</v>
      </c>
      <c r="C10" s="29" t="e">
        <f t="shared" ref="C10:D10" si="0">(C6*10^6)/C7</f>
        <v>#DIV/0!</v>
      </c>
      <c r="D10" s="29" t="e">
        <f t="shared" si="0"/>
        <v>#DIV/0!</v>
      </c>
      <c r="E10" s="29">
        <f>(E6*10^6)/E7</f>
        <v>219.2982456140351</v>
      </c>
      <c r="F10" s="29" t="e">
        <f t="shared" ref="F10:N10" si="1">(F6*10^6)/F7</f>
        <v>#DIV/0!</v>
      </c>
      <c r="G10" s="29" t="e">
        <f t="shared" si="1"/>
        <v>#DIV/0!</v>
      </c>
      <c r="H10" s="29" t="e">
        <f t="shared" si="1"/>
        <v>#DIV/0!</v>
      </c>
      <c r="I10" s="29" t="e">
        <f t="shared" si="1"/>
        <v>#DIV/0!</v>
      </c>
      <c r="J10" s="29" t="e">
        <f t="shared" si="1"/>
        <v>#DIV/0!</v>
      </c>
      <c r="K10" s="29" t="e">
        <f t="shared" si="1"/>
        <v>#DIV/0!</v>
      </c>
      <c r="L10" s="29" t="e">
        <f t="shared" si="1"/>
        <v>#DIV/0!</v>
      </c>
      <c r="M10" s="29" t="e">
        <f t="shared" si="1"/>
        <v>#DIV/0!</v>
      </c>
      <c r="N10" s="29" t="e">
        <f t="shared" si="1"/>
        <v>#DIV/0!</v>
      </c>
      <c r="O10" s="1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25.5" customHeight="1" x14ac:dyDescent="0.25">
      <c r="A11" s="12"/>
      <c r="B11" s="28" t="str">
        <f>'Lista de Indicadores'!G17</f>
        <v>Indicador de severidad (IS)</v>
      </c>
      <c r="C11" s="29" t="e">
        <f>(C8/C9)*10^6</f>
        <v>#DIV/0!</v>
      </c>
      <c r="D11" s="29" t="e">
        <f t="shared" ref="D11:N11" si="2">(D8/D9)*10^6</f>
        <v>#DIV/0!</v>
      </c>
      <c r="E11" s="29">
        <f>(E8*10^6)/E9</f>
        <v>0.38473376423514927</v>
      </c>
      <c r="F11" s="29" t="e">
        <f t="shared" si="2"/>
        <v>#DIV/0!</v>
      </c>
      <c r="G11" s="29" t="e">
        <f t="shared" si="2"/>
        <v>#DIV/0!</v>
      </c>
      <c r="H11" s="29" t="e">
        <f t="shared" si="2"/>
        <v>#DIV/0!</v>
      </c>
      <c r="I11" s="29" t="e">
        <f t="shared" si="2"/>
        <v>#DIV/0!</v>
      </c>
      <c r="J11" s="29" t="e">
        <f t="shared" si="2"/>
        <v>#DIV/0!</v>
      </c>
      <c r="K11" s="29" t="e">
        <f t="shared" si="2"/>
        <v>#DIV/0!</v>
      </c>
      <c r="L11" s="29" t="e">
        <f t="shared" si="2"/>
        <v>#DIV/0!</v>
      </c>
      <c r="M11" s="29" t="e">
        <f t="shared" si="2"/>
        <v>#DIV/0!</v>
      </c>
      <c r="N11" s="29" t="e">
        <f t="shared" si="2"/>
        <v>#DIV/0!</v>
      </c>
      <c r="O11" s="1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27" customHeight="1" x14ac:dyDescent="0.25">
      <c r="A12" s="31"/>
      <c r="B12" s="26" t="s">
        <v>5</v>
      </c>
      <c r="C12" s="32" t="str">
        <f>IFERROR(IF(ISBLANK(C11),"",(C11*C10)/1000),"-")</f>
        <v>-</v>
      </c>
      <c r="D12" s="32" t="str">
        <f t="shared" ref="D12:N12" si="3">IFERROR(IF(ISBLANK(D11),"",(D11*D10)/1000),"-")</f>
        <v>-</v>
      </c>
      <c r="E12" s="61">
        <f t="shared" si="3"/>
        <v>8.4371439525252029E-2</v>
      </c>
      <c r="F12" s="32" t="str">
        <f t="shared" si="3"/>
        <v>-</v>
      </c>
      <c r="G12" s="32" t="str">
        <f t="shared" si="3"/>
        <v>-</v>
      </c>
      <c r="H12" s="32" t="str">
        <f t="shared" si="3"/>
        <v>-</v>
      </c>
      <c r="I12" s="32" t="str">
        <f t="shared" si="3"/>
        <v>-</v>
      </c>
      <c r="J12" s="32" t="str">
        <f t="shared" si="3"/>
        <v>-</v>
      </c>
      <c r="K12" s="32" t="str">
        <f t="shared" si="3"/>
        <v>-</v>
      </c>
      <c r="L12" s="32" t="str">
        <f t="shared" si="3"/>
        <v>-</v>
      </c>
      <c r="M12" s="32" t="str">
        <f t="shared" si="3"/>
        <v>-</v>
      </c>
      <c r="N12" s="32" t="str">
        <f t="shared" si="3"/>
        <v>-</v>
      </c>
      <c r="O12" s="33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35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customHeight="1" x14ac:dyDescent="0.25">
      <c r="A34" s="14"/>
      <c r="B34" s="36" t="s">
        <v>76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37"/>
      <c r="B35" s="38" t="s">
        <v>77</v>
      </c>
      <c r="C35" s="88" t="s">
        <v>78</v>
      </c>
      <c r="D35" s="89"/>
      <c r="E35" s="89"/>
      <c r="F35" s="89"/>
      <c r="G35" s="90"/>
      <c r="H35" s="91" t="s">
        <v>79</v>
      </c>
      <c r="I35" s="90"/>
      <c r="J35" s="39"/>
      <c r="K35" s="40" t="s">
        <v>80</v>
      </c>
      <c r="L35" s="41"/>
      <c r="M35" s="37"/>
      <c r="N35" s="42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ht="12.75" customHeight="1" x14ac:dyDescent="0.25">
      <c r="A36" s="37"/>
      <c r="B36" s="43" t="s">
        <v>64</v>
      </c>
      <c r="C36" s="92"/>
      <c r="D36" s="89"/>
      <c r="E36" s="89"/>
      <c r="F36" s="89"/>
      <c r="G36" s="90"/>
      <c r="H36" s="92"/>
      <c r="I36" s="90"/>
      <c r="J36" s="43"/>
      <c r="K36" s="43"/>
      <c r="L36" s="34"/>
      <c r="M36" s="34"/>
      <c r="N36" s="44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ht="12.75" customHeight="1" x14ac:dyDescent="0.25">
      <c r="A37" s="37"/>
      <c r="B37" s="43" t="s">
        <v>65</v>
      </c>
      <c r="C37" s="92"/>
      <c r="D37" s="89"/>
      <c r="E37" s="89"/>
      <c r="F37" s="89"/>
      <c r="G37" s="90"/>
      <c r="H37" s="92"/>
      <c r="I37" s="90"/>
      <c r="J37" s="43"/>
      <c r="K37" s="43"/>
      <c r="L37" s="46"/>
      <c r="M37" s="44"/>
      <c r="N37" s="44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ht="12.75" customHeight="1" x14ac:dyDescent="0.25">
      <c r="A38" s="14"/>
      <c r="B38" s="43" t="s">
        <v>66</v>
      </c>
      <c r="C38" s="92"/>
      <c r="D38" s="89"/>
      <c r="E38" s="89"/>
      <c r="F38" s="89"/>
      <c r="G38" s="90"/>
      <c r="H38" s="92"/>
      <c r="I38" s="90"/>
      <c r="J38" s="43"/>
      <c r="K38" s="43"/>
      <c r="L38" s="34"/>
      <c r="M38" s="44"/>
      <c r="N38" s="4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67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68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69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70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71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43" t="s">
        <v>81</v>
      </c>
      <c r="C44" s="92"/>
      <c r="D44" s="89"/>
      <c r="E44" s="89"/>
      <c r="F44" s="89"/>
      <c r="G44" s="90"/>
      <c r="H44" s="92"/>
      <c r="I44" s="90"/>
      <c r="J44" s="43"/>
      <c r="K44" s="4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43" t="s">
        <v>73</v>
      </c>
      <c r="C45" s="92"/>
      <c r="D45" s="89"/>
      <c r="E45" s="89"/>
      <c r="F45" s="89"/>
      <c r="G45" s="90"/>
      <c r="H45" s="92"/>
      <c r="I45" s="90"/>
      <c r="J45" s="43"/>
      <c r="K45" s="4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43" t="s">
        <v>74</v>
      </c>
      <c r="C46" s="92"/>
      <c r="D46" s="89"/>
      <c r="E46" s="89"/>
      <c r="F46" s="89"/>
      <c r="G46" s="90"/>
      <c r="H46" s="92"/>
      <c r="I46" s="90"/>
      <c r="J46" s="43"/>
      <c r="K46" s="4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43" t="s">
        <v>75</v>
      </c>
      <c r="C47" s="92"/>
      <c r="D47" s="89"/>
      <c r="E47" s="89"/>
      <c r="F47" s="89"/>
      <c r="G47" s="90"/>
      <c r="H47" s="92"/>
      <c r="I47" s="90"/>
      <c r="J47" s="43"/>
      <c r="K47" s="4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ht="12.75" customHeight="1" x14ac:dyDescent="0.25">
      <c r="A1001" s="14"/>
      <c r="B1001" s="14"/>
      <c r="C1001" s="14"/>
      <c r="D1001" s="14"/>
      <c r="E1001" s="47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1:27" ht="12.75" customHeight="1" x14ac:dyDescent="0.25">
      <c r="A1002" s="14"/>
      <c r="B1002" s="14"/>
      <c r="C1002" s="14"/>
      <c r="D1002" s="14"/>
      <c r="E1002" s="47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1:27" ht="12.75" customHeight="1" x14ac:dyDescent="0.25">
      <c r="A1003" s="14"/>
      <c r="B1003" s="14"/>
      <c r="C1003" s="14"/>
      <c r="D1003" s="14"/>
      <c r="E1003" s="47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spans="1:27" ht="12.75" customHeight="1" x14ac:dyDescent="0.25">
      <c r="A1004" s="14"/>
      <c r="B1004" s="14"/>
      <c r="C1004" s="14"/>
      <c r="D1004" s="14"/>
      <c r="E1004" s="47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</sheetData>
  <mergeCells count="33">
    <mergeCell ref="A6:A7"/>
    <mergeCell ref="A8:A9"/>
    <mergeCell ref="C47:G47"/>
    <mergeCell ref="H47:I47"/>
    <mergeCell ref="C43:G43"/>
    <mergeCell ref="H43:I43"/>
    <mergeCell ref="C44:G44"/>
    <mergeCell ref="H44:I44"/>
    <mergeCell ref="C45:G45"/>
    <mergeCell ref="H45:I45"/>
    <mergeCell ref="H46:I46"/>
    <mergeCell ref="C41:G41"/>
    <mergeCell ref="H41:I41"/>
    <mergeCell ref="C42:G42"/>
    <mergeCell ref="H42:I42"/>
    <mergeCell ref="C46:G46"/>
    <mergeCell ref="C38:G38"/>
    <mergeCell ref="H38:I38"/>
    <mergeCell ref="H39:I39"/>
    <mergeCell ref="C39:G39"/>
    <mergeCell ref="C40:G40"/>
    <mergeCell ref="H40:I40"/>
    <mergeCell ref="C35:G35"/>
    <mergeCell ref="H35:I35"/>
    <mergeCell ref="C36:G36"/>
    <mergeCell ref="H36:I36"/>
    <mergeCell ref="C37:G37"/>
    <mergeCell ref="H37:I37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/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Indicadores'!D18</f>
        <v>Cumplimiento del programa auditorias internas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5" customHeight="1" x14ac:dyDescent="0.25">
      <c r="A3" s="12"/>
      <c r="B3" s="76"/>
      <c r="C3" s="80"/>
      <c r="D3" s="81"/>
      <c r="E3" s="82"/>
      <c r="F3" s="86" t="str">
        <f>'Lista de Indicadores'!E18</f>
        <v>(Nro. de auditorias ejecutadas/Nro. total de auditorias programadas)*100</v>
      </c>
      <c r="G3" s="84"/>
      <c r="H3" s="85"/>
      <c r="I3" s="20">
        <f>IFERROR(AVERAGE(C8:N8),"-")</f>
        <v>1</v>
      </c>
      <c r="J3" s="21">
        <f>'Lista de Indicadores'!H18</f>
        <v>0.7</v>
      </c>
      <c r="K3" s="21">
        <v>0.3</v>
      </c>
      <c r="L3" s="21">
        <v>0.3</v>
      </c>
      <c r="M3" s="21">
        <v>0.4</v>
      </c>
      <c r="N3" s="22" t="str">
        <f>'Lista de Indicadores'!J18</f>
        <v>Anual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26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Indicadores'!F18</f>
        <v>Nro. de auditorias ejecutadas</v>
      </c>
      <c r="C6" s="29"/>
      <c r="D6" s="29" t="s">
        <v>45</v>
      </c>
      <c r="E6" s="29" t="s">
        <v>45</v>
      </c>
      <c r="F6" s="29" t="s">
        <v>45</v>
      </c>
      <c r="G6" s="29" t="s">
        <v>45</v>
      </c>
      <c r="H6" s="29">
        <v>1</v>
      </c>
      <c r="I6" s="29" t="s">
        <v>45</v>
      </c>
      <c r="J6" s="30"/>
      <c r="K6" s="30"/>
      <c r="L6" s="30"/>
      <c r="M6" s="30"/>
      <c r="N6" s="30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Indicadores'!G18</f>
        <v>Nro. total de auditorias programada</v>
      </c>
      <c r="C7" s="29"/>
      <c r="D7" s="29" t="s">
        <v>45</v>
      </c>
      <c r="E7" s="29" t="s">
        <v>45</v>
      </c>
      <c r="F7" s="29" t="s">
        <v>45</v>
      </c>
      <c r="G7" s="29" t="s">
        <v>45</v>
      </c>
      <c r="H7" s="29">
        <v>1</v>
      </c>
      <c r="I7" s="29" t="s">
        <v>45</v>
      </c>
      <c r="J7" s="30"/>
      <c r="K7" s="30"/>
      <c r="L7" s="30"/>
      <c r="M7" s="30"/>
      <c r="N7" s="30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 t="str">
        <f t="shared" ref="C8:N8" si="0">IFERROR(IF(ISBLANK(C7),"",C6/C7),"-")</f>
        <v/>
      </c>
      <c r="D8" s="32" t="str">
        <f t="shared" si="0"/>
        <v>-</v>
      </c>
      <c r="E8" s="32" t="str">
        <f t="shared" si="0"/>
        <v>-</v>
      </c>
      <c r="F8" s="32" t="str">
        <f t="shared" si="0"/>
        <v>-</v>
      </c>
      <c r="G8" s="32" t="str">
        <f t="shared" si="0"/>
        <v>-</v>
      </c>
      <c r="H8" s="32">
        <f t="shared" si="0"/>
        <v>1</v>
      </c>
      <c r="I8" s="32" t="str">
        <f t="shared" si="0"/>
        <v>-</v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customHeight="1" x14ac:dyDescent="0.25">
      <c r="A36" s="14"/>
      <c r="B36" s="43" t="s">
        <v>68</v>
      </c>
      <c r="C36" s="92"/>
      <c r="D36" s="89"/>
      <c r="E36" s="89"/>
      <c r="F36" s="89"/>
      <c r="G36" s="90"/>
      <c r="H36" s="92"/>
      <c r="I36" s="90"/>
      <c r="J36" s="43"/>
      <c r="K36" s="4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Indicadores'!D19</f>
        <v>Indice de mejoras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69" customHeight="1" x14ac:dyDescent="0.25">
      <c r="A3" s="12"/>
      <c r="B3" s="76"/>
      <c r="C3" s="80"/>
      <c r="D3" s="81"/>
      <c r="E3" s="82"/>
      <c r="F3" s="86" t="str">
        <f>'Lista de Indicadores'!E19</f>
        <v>(Nro. de acciones de mejora detectada como resultado de la revisión por la dirección/Nro. total de revisiones por la dirección ejecutadas)*100</v>
      </c>
      <c r="G3" s="84"/>
      <c r="H3" s="85"/>
      <c r="I3" s="20" t="str">
        <f>IFERROR(AVERAGE(C8:N8),"-")</f>
        <v>-</v>
      </c>
      <c r="J3" s="21">
        <f>'Lista de Indicadores'!H19</f>
        <v>0.7</v>
      </c>
      <c r="K3" s="21">
        <v>0.3</v>
      </c>
      <c r="L3" s="21">
        <v>0.3</v>
      </c>
      <c r="M3" s="21">
        <v>0.4</v>
      </c>
      <c r="N3" s="22" t="str">
        <f>'Lista de Indicadores'!J19</f>
        <v>Anual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51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Indicadores'!F19</f>
        <v>Nro. de acciones de mejora detectada como resultado de la revisión por la dirección</v>
      </c>
      <c r="C6" s="29" t="s">
        <v>45</v>
      </c>
      <c r="D6" s="30"/>
      <c r="E6" s="29" t="s">
        <v>45</v>
      </c>
      <c r="F6" s="29" t="s">
        <v>45</v>
      </c>
      <c r="G6" s="29" t="s">
        <v>45</v>
      </c>
      <c r="H6" s="29" t="s">
        <v>45</v>
      </c>
      <c r="I6" s="30"/>
      <c r="J6" s="30"/>
      <c r="K6" s="30"/>
      <c r="L6" s="30"/>
      <c r="M6" s="30"/>
      <c r="N6" s="30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Indicadores'!G19</f>
        <v>Nro. total de revisiones por la dirección ejecutadas</v>
      </c>
      <c r="C7" s="29" t="s">
        <v>45</v>
      </c>
      <c r="D7" s="29" t="s">
        <v>45</v>
      </c>
      <c r="E7" s="29" t="s">
        <v>45</v>
      </c>
      <c r="F7" s="29" t="s">
        <v>45</v>
      </c>
      <c r="G7" s="29" t="s">
        <v>45</v>
      </c>
      <c r="H7" s="29" t="s">
        <v>45</v>
      </c>
      <c r="I7" s="30"/>
      <c r="J7" s="30"/>
      <c r="K7" s="30"/>
      <c r="L7" s="30"/>
      <c r="M7" s="30"/>
      <c r="N7" s="30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 t="str">
        <f t="shared" ref="C8:N8" si="0">IFERROR(IF(ISBLANK(C7),"",C6/C7),"-")</f>
        <v>-</v>
      </c>
      <c r="D8" s="32" t="str">
        <f t="shared" si="0"/>
        <v>-</v>
      </c>
      <c r="E8" s="32" t="str">
        <f t="shared" si="0"/>
        <v>-</v>
      </c>
      <c r="F8" s="32" t="str">
        <f t="shared" si="0"/>
        <v>-</v>
      </c>
      <c r="G8" s="32" t="str">
        <f t="shared" si="0"/>
        <v>-</v>
      </c>
      <c r="H8" s="32" t="str">
        <f t="shared" si="0"/>
        <v>-</v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47.25" customHeight="1" x14ac:dyDescent="0.25">
      <c r="A36" s="14"/>
      <c r="B36" s="43" t="s">
        <v>68</v>
      </c>
      <c r="C36" s="95"/>
      <c r="D36" s="89"/>
      <c r="E36" s="89"/>
      <c r="F36" s="89"/>
      <c r="G36" s="90"/>
      <c r="H36" s="92"/>
      <c r="I36" s="90"/>
      <c r="J36" s="43"/>
      <c r="K36" s="52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3:G43"/>
    <mergeCell ref="H43:I43"/>
    <mergeCell ref="C39:G39"/>
    <mergeCell ref="H39:I39"/>
    <mergeCell ref="C40:G40"/>
    <mergeCell ref="H40:I40"/>
    <mergeCell ref="C41:G41"/>
    <mergeCell ref="H41:I41"/>
    <mergeCell ref="H42:I42"/>
    <mergeCell ref="C37:G37"/>
    <mergeCell ref="H37:I37"/>
    <mergeCell ref="C38:G38"/>
    <mergeCell ref="H38:I38"/>
    <mergeCell ref="C42:G42"/>
    <mergeCell ref="C34:G34"/>
    <mergeCell ref="H34:I34"/>
    <mergeCell ref="H35:I35"/>
    <mergeCell ref="C35:G35"/>
    <mergeCell ref="C36:G36"/>
    <mergeCell ref="H36:I36"/>
    <mergeCell ref="C31:G31"/>
    <mergeCell ref="H31:I31"/>
    <mergeCell ref="C32:G32"/>
    <mergeCell ref="H32:I32"/>
    <mergeCell ref="C33:G33"/>
    <mergeCell ref="H33:I33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E099-2A5B-4475-9173-3659EEFFB454}">
  <dimension ref="A1:AA1000"/>
  <sheetViews>
    <sheetView workbookViewId="0">
      <selection activeCell="I3" sqref="I3"/>
    </sheetView>
  </sheetViews>
  <sheetFormatPr baseColWidth="10" defaultColWidth="14.42578125" defaultRowHeight="15" customHeight="1" x14ac:dyDescent="0.25"/>
  <cols>
    <col min="1" max="1" width="3.140625" customWidth="1"/>
    <col min="2" max="2" width="22.85546875" customWidth="1"/>
    <col min="3" max="14" width="11.85546875" customWidth="1"/>
    <col min="15" max="15" width="2.5703125" customWidth="1"/>
    <col min="16" max="27" width="11.42578125" customWidth="1"/>
  </cols>
  <sheetData>
    <row r="1" spans="1:27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9.5" customHeight="1" x14ac:dyDescent="0.25">
      <c r="A2" s="12"/>
      <c r="B2" s="75" t="s">
        <v>56</v>
      </c>
      <c r="C2" s="93" t="str">
        <f>'Lista de Indicadores'!D20</f>
        <v>índice de aprobación de Diseños</v>
      </c>
      <c r="D2" s="78"/>
      <c r="E2" s="79"/>
      <c r="F2" s="83" t="s">
        <v>57</v>
      </c>
      <c r="G2" s="84"/>
      <c r="H2" s="85"/>
      <c r="I2" s="15" t="s">
        <v>58</v>
      </c>
      <c r="J2" s="16" t="s">
        <v>59</v>
      </c>
      <c r="K2" s="17" t="s">
        <v>60</v>
      </c>
      <c r="L2" s="18" t="s">
        <v>61</v>
      </c>
      <c r="M2" s="19" t="s">
        <v>62</v>
      </c>
      <c r="N2" s="16" t="s">
        <v>63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69" customHeight="1" x14ac:dyDescent="0.25">
      <c r="A3" s="12"/>
      <c r="B3" s="76"/>
      <c r="C3" s="80"/>
      <c r="D3" s="81"/>
      <c r="E3" s="82"/>
      <c r="F3" s="86" t="str">
        <f>'Lista de Indicadores'!E20</f>
        <v>(Nro. Diseños aprobados /Nro.  total de diseños elaborados )*100</v>
      </c>
      <c r="G3" s="84"/>
      <c r="H3" s="85"/>
      <c r="I3" s="20">
        <f>IFERROR(AVERAGE(C8:N8),"-")</f>
        <v>1</v>
      </c>
      <c r="J3" s="21" t="str">
        <f>'Lista de Indicadores'!H20</f>
        <v>[90%-100%]</v>
      </c>
      <c r="K3" s="21">
        <v>0.3</v>
      </c>
      <c r="L3" s="21">
        <v>0.3</v>
      </c>
      <c r="M3" s="21">
        <v>0.4</v>
      </c>
      <c r="N3" s="22" t="str">
        <f>'Lista de Indicadores'!J20</f>
        <v>Mensual</v>
      </c>
      <c r="O3" s="1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7.25" customHeight="1" x14ac:dyDescent="0.25">
      <c r="A4" s="12"/>
      <c r="B4" s="24">
        <v>2023</v>
      </c>
      <c r="C4" s="86"/>
      <c r="D4" s="84"/>
      <c r="E4" s="84"/>
      <c r="F4" s="84"/>
      <c r="G4" s="84"/>
      <c r="H4" s="84"/>
      <c r="I4" s="84"/>
      <c r="J4" s="84"/>
      <c r="K4" s="84"/>
      <c r="L4" s="84"/>
      <c r="M4" s="84"/>
      <c r="N4" s="87"/>
      <c r="O4" s="1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28.5" customHeight="1" x14ac:dyDescent="0.25">
      <c r="A5" s="12"/>
      <c r="B5" s="25"/>
      <c r="C5" s="26" t="s">
        <v>64</v>
      </c>
      <c r="D5" s="51" t="s">
        <v>65</v>
      </c>
      <c r="E5" s="26" t="s">
        <v>66</v>
      </c>
      <c r="F5" s="26" t="s">
        <v>67</v>
      </c>
      <c r="G5" s="26" t="s">
        <v>68</v>
      </c>
      <c r="H5" s="26" t="s">
        <v>69</v>
      </c>
      <c r="I5" s="26" t="s">
        <v>70</v>
      </c>
      <c r="J5" s="26" t="s">
        <v>71</v>
      </c>
      <c r="K5" s="26" t="s">
        <v>72</v>
      </c>
      <c r="L5" s="26" t="s">
        <v>73</v>
      </c>
      <c r="M5" s="26" t="s">
        <v>74</v>
      </c>
      <c r="N5" s="26" t="s">
        <v>75</v>
      </c>
      <c r="O5" s="27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2.75" customHeight="1" x14ac:dyDescent="0.25">
      <c r="A6" s="12"/>
      <c r="B6" s="28" t="str">
        <f>'Lista de Indicadores'!F20</f>
        <v>Nro. Diseños aprobados</v>
      </c>
      <c r="C6" s="29">
        <v>1</v>
      </c>
      <c r="D6" s="30"/>
      <c r="E6" s="29">
        <v>5</v>
      </c>
      <c r="F6" s="29">
        <v>2</v>
      </c>
      <c r="G6" s="29">
        <v>1</v>
      </c>
      <c r="H6" s="29" t="s">
        <v>45</v>
      </c>
      <c r="I6" s="30"/>
      <c r="J6" s="30"/>
      <c r="K6" s="30"/>
      <c r="L6" s="30"/>
      <c r="M6" s="30"/>
      <c r="N6" s="30"/>
      <c r="O6" s="1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2.75" customHeight="1" x14ac:dyDescent="0.25">
      <c r="A7" s="12"/>
      <c r="B7" s="28" t="str">
        <f>'Lista de Indicadores'!G20</f>
        <v>Nro.  total de diseños elaborados</v>
      </c>
      <c r="C7" s="29">
        <v>1</v>
      </c>
      <c r="D7" s="29" t="s">
        <v>45</v>
      </c>
      <c r="E7" s="29">
        <v>5</v>
      </c>
      <c r="F7" s="29">
        <v>2</v>
      </c>
      <c r="G7" s="29">
        <v>1</v>
      </c>
      <c r="H7" s="29" t="s">
        <v>45</v>
      </c>
      <c r="I7" s="30"/>
      <c r="J7" s="30"/>
      <c r="K7" s="30"/>
      <c r="L7" s="30"/>
      <c r="M7" s="30"/>
      <c r="N7" s="30"/>
      <c r="O7" s="1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27" customHeight="1" x14ac:dyDescent="0.25">
      <c r="A8" s="31"/>
      <c r="B8" s="26" t="s">
        <v>5</v>
      </c>
      <c r="C8" s="32">
        <f t="shared" ref="C8:N8" si="0">IFERROR(IF(ISBLANK(C7),"",C6/C7),"-")</f>
        <v>1</v>
      </c>
      <c r="D8" s="32" t="str">
        <f t="shared" si="0"/>
        <v>-</v>
      </c>
      <c r="E8" s="32">
        <f t="shared" si="0"/>
        <v>1</v>
      </c>
      <c r="F8" s="32">
        <f t="shared" si="0"/>
        <v>1</v>
      </c>
      <c r="G8" s="32">
        <f t="shared" si="0"/>
        <v>1</v>
      </c>
      <c r="H8" s="32" t="str">
        <f t="shared" si="0"/>
        <v>-</v>
      </c>
      <c r="I8" s="32" t="str">
        <f t="shared" si="0"/>
        <v/>
      </c>
      <c r="J8" s="32" t="str">
        <f t="shared" si="0"/>
        <v/>
      </c>
      <c r="K8" s="32" t="str">
        <f t="shared" si="0"/>
        <v/>
      </c>
      <c r="L8" s="32" t="str">
        <f t="shared" si="0"/>
        <v/>
      </c>
      <c r="M8" s="32" t="str">
        <f t="shared" si="0"/>
        <v/>
      </c>
      <c r="N8" s="32" t="str">
        <f t="shared" si="0"/>
        <v/>
      </c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2.75" customHeight="1" x14ac:dyDescent="0.25">
      <c r="A10" s="12"/>
      <c r="B10" s="12"/>
      <c r="C10" s="12"/>
      <c r="D10" s="12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14"/>
      <c r="B30" s="36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customHeight="1" x14ac:dyDescent="0.25">
      <c r="A31" s="37"/>
      <c r="B31" s="38" t="s">
        <v>77</v>
      </c>
      <c r="C31" s="88" t="s">
        <v>78</v>
      </c>
      <c r="D31" s="89"/>
      <c r="E31" s="89"/>
      <c r="F31" s="89"/>
      <c r="G31" s="90"/>
      <c r="H31" s="91" t="s">
        <v>79</v>
      </c>
      <c r="I31" s="90"/>
      <c r="J31" s="39"/>
      <c r="K31" s="40" t="s">
        <v>80</v>
      </c>
      <c r="L31" s="41"/>
      <c r="M31" s="37"/>
      <c r="N31" s="42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2.75" customHeight="1" x14ac:dyDescent="0.25">
      <c r="A32" s="37"/>
      <c r="B32" s="43" t="s">
        <v>64</v>
      </c>
      <c r="C32" s="92"/>
      <c r="D32" s="89"/>
      <c r="E32" s="89"/>
      <c r="F32" s="89"/>
      <c r="G32" s="90"/>
      <c r="H32" s="92"/>
      <c r="I32" s="90"/>
      <c r="J32" s="43"/>
      <c r="K32" s="43"/>
      <c r="L32" s="34"/>
      <c r="M32" s="34"/>
      <c r="N32" s="44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2.75" customHeight="1" x14ac:dyDescent="0.25">
      <c r="A33" s="37"/>
      <c r="B33" s="43" t="s">
        <v>65</v>
      </c>
      <c r="C33" s="92"/>
      <c r="D33" s="89"/>
      <c r="E33" s="89"/>
      <c r="F33" s="89"/>
      <c r="G33" s="90"/>
      <c r="H33" s="92"/>
      <c r="I33" s="90"/>
      <c r="J33" s="43"/>
      <c r="K33" s="43"/>
      <c r="L33" s="46"/>
      <c r="M33" s="44"/>
      <c r="N33" s="44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2.75" customHeight="1" x14ac:dyDescent="0.25">
      <c r="A34" s="14"/>
      <c r="B34" s="43" t="s">
        <v>66</v>
      </c>
      <c r="C34" s="92"/>
      <c r="D34" s="89"/>
      <c r="E34" s="89"/>
      <c r="F34" s="89"/>
      <c r="G34" s="90"/>
      <c r="H34" s="92"/>
      <c r="I34" s="90"/>
      <c r="J34" s="43"/>
      <c r="K34" s="43"/>
      <c r="L34" s="34"/>
      <c r="M34" s="44"/>
      <c r="N34" s="4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customHeight="1" x14ac:dyDescent="0.25">
      <c r="A35" s="14"/>
      <c r="B35" s="43" t="s">
        <v>67</v>
      </c>
      <c r="C35" s="92"/>
      <c r="D35" s="89"/>
      <c r="E35" s="89"/>
      <c r="F35" s="89"/>
      <c r="G35" s="90"/>
      <c r="H35" s="92"/>
      <c r="I35" s="90"/>
      <c r="J35" s="43"/>
      <c r="K35" s="4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47.25" customHeight="1" x14ac:dyDescent="0.25">
      <c r="A36" s="14"/>
      <c r="B36" s="43" t="s">
        <v>68</v>
      </c>
      <c r="C36" s="95"/>
      <c r="D36" s="89"/>
      <c r="E36" s="89"/>
      <c r="F36" s="89"/>
      <c r="G36" s="90"/>
      <c r="H36" s="92"/>
      <c r="I36" s="90"/>
      <c r="J36" s="43"/>
      <c r="K36" s="52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customHeight="1" x14ac:dyDescent="0.25">
      <c r="A37" s="14"/>
      <c r="B37" s="43" t="s">
        <v>69</v>
      </c>
      <c r="C37" s="92"/>
      <c r="D37" s="89"/>
      <c r="E37" s="89"/>
      <c r="F37" s="89"/>
      <c r="G37" s="90"/>
      <c r="H37" s="92"/>
      <c r="I37" s="90"/>
      <c r="J37" s="43"/>
      <c r="K37" s="4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customHeight="1" x14ac:dyDescent="0.25">
      <c r="A38" s="14"/>
      <c r="B38" s="43" t="s">
        <v>70</v>
      </c>
      <c r="C38" s="92"/>
      <c r="D38" s="89"/>
      <c r="E38" s="89"/>
      <c r="F38" s="89"/>
      <c r="G38" s="90"/>
      <c r="H38" s="92"/>
      <c r="I38" s="90"/>
      <c r="J38" s="43"/>
      <c r="K38" s="4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customHeight="1" x14ac:dyDescent="0.25">
      <c r="A39" s="14"/>
      <c r="B39" s="43" t="s">
        <v>71</v>
      </c>
      <c r="C39" s="92"/>
      <c r="D39" s="89"/>
      <c r="E39" s="89"/>
      <c r="F39" s="89"/>
      <c r="G39" s="90"/>
      <c r="H39" s="92"/>
      <c r="I39" s="90"/>
      <c r="J39" s="43"/>
      <c r="K39" s="4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customHeight="1" x14ac:dyDescent="0.25">
      <c r="A40" s="14"/>
      <c r="B40" s="43" t="s">
        <v>81</v>
      </c>
      <c r="C40" s="92"/>
      <c r="D40" s="89"/>
      <c r="E40" s="89"/>
      <c r="F40" s="89"/>
      <c r="G40" s="90"/>
      <c r="H40" s="92"/>
      <c r="I40" s="90"/>
      <c r="J40" s="43"/>
      <c r="K40" s="4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customHeight="1" x14ac:dyDescent="0.25">
      <c r="A41" s="14"/>
      <c r="B41" s="43" t="s">
        <v>73</v>
      </c>
      <c r="C41" s="92"/>
      <c r="D41" s="89"/>
      <c r="E41" s="89"/>
      <c r="F41" s="89"/>
      <c r="G41" s="90"/>
      <c r="H41" s="92"/>
      <c r="I41" s="90"/>
      <c r="J41" s="43"/>
      <c r="K41" s="4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customHeight="1" x14ac:dyDescent="0.25">
      <c r="A42" s="14"/>
      <c r="B42" s="43" t="s">
        <v>74</v>
      </c>
      <c r="C42" s="92"/>
      <c r="D42" s="89"/>
      <c r="E42" s="89"/>
      <c r="F42" s="89"/>
      <c r="G42" s="90"/>
      <c r="H42" s="92"/>
      <c r="I42" s="90"/>
      <c r="J42" s="43"/>
      <c r="K42" s="4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customHeight="1" x14ac:dyDescent="0.25">
      <c r="A43" s="14"/>
      <c r="B43" s="43" t="s">
        <v>75</v>
      </c>
      <c r="C43" s="92"/>
      <c r="D43" s="89"/>
      <c r="E43" s="89"/>
      <c r="F43" s="89"/>
      <c r="G43" s="90"/>
      <c r="H43" s="92"/>
      <c r="I43" s="90"/>
      <c r="J43" s="43"/>
      <c r="K43" s="4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customHeight="1" x14ac:dyDescent="0.25">
      <c r="A223" s="14"/>
      <c r="B223" s="14"/>
      <c r="C223" s="14"/>
      <c r="D223" s="14"/>
      <c r="E223" s="4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customHeight="1" x14ac:dyDescent="0.25">
      <c r="A224" s="14"/>
      <c r="B224" s="14"/>
      <c r="C224" s="14"/>
      <c r="D224" s="14"/>
      <c r="E224" s="4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customHeight="1" x14ac:dyDescent="0.25">
      <c r="A225" s="14"/>
      <c r="B225" s="14"/>
      <c r="C225" s="14"/>
      <c r="D225" s="14"/>
      <c r="E225" s="4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customHeight="1" x14ac:dyDescent="0.25">
      <c r="A226" s="14"/>
      <c r="B226" s="14"/>
      <c r="C226" s="14"/>
      <c r="D226" s="14"/>
      <c r="E226" s="4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customHeight="1" x14ac:dyDescent="0.25">
      <c r="A227" s="14"/>
      <c r="B227" s="14"/>
      <c r="C227" s="14"/>
      <c r="D227" s="14"/>
      <c r="E227" s="4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customHeight="1" x14ac:dyDescent="0.25">
      <c r="A228" s="14"/>
      <c r="B228" s="14"/>
      <c r="C228" s="14"/>
      <c r="D228" s="14"/>
      <c r="E228" s="4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customHeight="1" x14ac:dyDescent="0.25">
      <c r="A229" s="14"/>
      <c r="B229" s="14"/>
      <c r="C229" s="14"/>
      <c r="D229" s="14"/>
      <c r="E229" s="4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customHeight="1" x14ac:dyDescent="0.25">
      <c r="A230" s="14"/>
      <c r="B230" s="14"/>
      <c r="C230" s="14"/>
      <c r="D230" s="14"/>
      <c r="E230" s="4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customHeight="1" x14ac:dyDescent="0.25">
      <c r="A231" s="14"/>
      <c r="B231" s="14"/>
      <c r="C231" s="14"/>
      <c r="D231" s="14"/>
      <c r="E231" s="4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customHeight="1" x14ac:dyDescent="0.25">
      <c r="A232" s="14"/>
      <c r="B232" s="14"/>
      <c r="C232" s="14"/>
      <c r="D232" s="14"/>
      <c r="E232" s="4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customHeight="1" x14ac:dyDescent="0.25">
      <c r="A233" s="14"/>
      <c r="B233" s="14"/>
      <c r="C233" s="14"/>
      <c r="D233" s="14"/>
      <c r="E233" s="4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customHeight="1" x14ac:dyDescent="0.25">
      <c r="A234" s="14"/>
      <c r="B234" s="14"/>
      <c r="C234" s="14"/>
      <c r="D234" s="14"/>
      <c r="E234" s="4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customHeight="1" x14ac:dyDescent="0.25">
      <c r="A235" s="14"/>
      <c r="B235" s="14"/>
      <c r="C235" s="14"/>
      <c r="D235" s="14"/>
      <c r="E235" s="4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customHeight="1" x14ac:dyDescent="0.25">
      <c r="A236" s="14"/>
      <c r="B236" s="14"/>
      <c r="C236" s="14"/>
      <c r="D236" s="14"/>
      <c r="E236" s="4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customHeight="1" x14ac:dyDescent="0.25">
      <c r="A237" s="14"/>
      <c r="B237" s="14"/>
      <c r="C237" s="14"/>
      <c r="D237" s="14"/>
      <c r="E237" s="4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customHeight="1" x14ac:dyDescent="0.25">
      <c r="A238" s="14"/>
      <c r="B238" s="14"/>
      <c r="C238" s="14"/>
      <c r="D238" s="14"/>
      <c r="E238" s="4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customHeight="1" x14ac:dyDescent="0.25">
      <c r="A239" s="14"/>
      <c r="B239" s="14"/>
      <c r="C239" s="14"/>
      <c r="D239" s="14"/>
      <c r="E239" s="4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customHeight="1" x14ac:dyDescent="0.25">
      <c r="A240" s="14"/>
      <c r="B240" s="14"/>
      <c r="C240" s="14"/>
      <c r="D240" s="14"/>
      <c r="E240" s="4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customHeight="1" x14ac:dyDescent="0.25">
      <c r="A241" s="14"/>
      <c r="B241" s="14"/>
      <c r="C241" s="14"/>
      <c r="D241" s="14"/>
      <c r="E241" s="4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customHeight="1" x14ac:dyDescent="0.25">
      <c r="A242" s="14"/>
      <c r="B242" s="14"/>
      <c r="C242" s="14"/>
      <c r="D242" s="14"/>
      <c r="E242" s="4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customHeight="1" x14ac:dyDescent="0.25">
      <c r="A243" s="14"/>
      <c r="B243" s="14"/>
      <c r="C243" s="14"/>
      <c r="D243" s="14"/>
      <c r="E243" s="4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customHeight="1" x14ac:dyDescent="0.25">
      <c r="A244" s="14"/>
      <c r="B244" s="14"/>
      <c r="C244" s="14"/>
      <c r="D244" s="14"/>
      <c r="E244" s="4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customHeight="1" x14ac:dyDescent="0.25">
      <c r="A245" s="14"/>
      <c r="B245" s="14"/>
      <c r="C245" s="14"/>
      <c r="D245" s="14"/>
      <c r="E245" s="4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customHeight="1" x14ac:dyDescent="0.25">
      <c r="A246" s="14"/>
      <c r="B246" s="14"/>
      <c r="C246" s="14"/>
      <c r="D246" s="14"/>
      <c r="E246" s="4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customHeight="1" x14ac:dyDescent="0.25">
      <c r="A247" s="14"/>
      <c r="B247" s="14"/>
      <c r="C247" s="14"/>
      <c r="D247" s="14"/>
      <c r="E247" s="4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customHeight="1" x14ac:dyDescent="0.25">
      <c r="A248" s="14"/>
      <c r="B248" s="14"/>
      <c r="C248" s="14"/>
      <c r="D248" s="14"/>
      <c r="E248" s="4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customHeight="1" x14ac:dyDescent="0.25">
      <c r="A249" s="14"/>
      <c r="B249" s="14"/>
      <c r="C249" s="14"/>
      <c r="D249" s="14"/>
      <c r="E249" s="4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customHeight="1" x14ac:dyDescent="0.25">
      <c r="A250" s="14"/>
      <c r="B250" s="14"/>
      <c r="C250" s="14"/>
      <c r="D250" s="14"/>
      <c r="E250" s="4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customHeight="1" x14ac:dyDescent="0.25">
      <c r="A251" s="14"/>
      <c r="B251" s="14"/>
      <c r="C251" s="14"/>
      <c r="D251" s="14"/>
      <c r="E251" s="4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customHeight="1" x14ac:dyDescent="0.25">
      <c r="A252" s="14"/>
      <c r="B252" s="14"/>
      <c r="C252" s="14"/>
      <c r="D252" s="14"/>
      <c r="E252" s="4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customHeight="1" x14ac:dyDescent="0.25">
      <c r="A253" s="14"/>
      <c r="B253" s="14"/>
      <c r="C253" s="14"/>
      <c r="D253" s="14"/>
      <c r="E253" s="4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customHeight="1" x14ac:dyDescent="0.25">
      <c r="A254" s="14"/>
      <c r="B254" s="14"/>
      <c r="C254" s="14"/>
      <c r="D254" s="14"/>
      <c r="E254" s="4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customHeight="1" x14ac:dyDescent="0.25">
      <c r="A255" s="14"/>
      <c r="B255" s="14"/>
      <c r="C255" s="14"/>
      <c r="D255" s="14"/>
      <c r="E255" s="4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customHeight="1" x14ac:dyDescent="0.25">
      <c r="A256" s="14"/>
      <c r="B256" s="14"/>
      <c r="C256" s="14"/>
      <c r="D256" s="14"/>
      <c r="E256" s="4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customHeight="1" x14ac:dyDescent="0.25">
      <c r="A257" s="14"/>
      <c r="B257" s="14"/>
      <c r="C257" s="14"/>
      <c r="D257" s="14"/>
      <c r="E257" s="4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customHeight="1" x14ac:dyDescent="0.25">
      <c r="A258" s="14"/>
      <c r="B258" s="14"/>
      <c r="C258" s="14"/>
      <c r="D258" s="14"/>
      <c r="E258" s="4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customHeight="1" x14ac:dyDescent="0.25">
      <c r="A259" s="14"/>
      <c r="B259" s="14"/>
      <c r="C259" s="14"/>
      <c r="D259" s="14"/>
      <c r="E259" s="4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customHeight="1" x14ac:dyDescent="0.25">
      <c r="A260" s="14"/>
      <c r="B260" s="14"/>
      <c r="C260" s="14"/>
      <c r="D260" s="14"/>
      <c r="E260" s="4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customHeight="1" x14ac:dyDescent="0.25">
      <c r="A261" s="14"/>
      <c r="B261" s="14"/>
      <c r="C261" s="14"/>
      <c r="D261" s="14"/>
      <c r="E261" s="4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customHeight="1" x14ac:dyDescent="0.25">
      <c r="A262" s="14"/>
      <c r="B262" s="14"/>
      <c r="C262" s="14"/>
      <c r="D262" s="14"/>
      <c r="E262" s="4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customHeight="1" x14ac:dyDescent="0.25">
      <c r="A263" s="14"/>
      <c r="B263" s="14"/>
      <c r="C263" s="14"/>
      <c r="D263" s="14"/>
      <c r="E263" s="4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customHeight="1" x14ac:dyDescent="0.25">
      <c r="A264" s="14"/>
      <c r="B264" s="14"/>
      <c r="C264" s="14"/>
      <c r="D264" s="14"/>
      <c r="E264" s="4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customHeight="1" x14ac:dyDescent="0.25">
      <c r="A265" s="14"/>
      <c r="B265" s="14"/>
      <c r="C265" s="14"/>
      <c r="D265" s="14"/>
      <c r="E265" s="4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customHeight="1" x14ac:dyDescent="0.25">
      <c r="A266" s="14"/>
      <c r="B266" s="14"/>
      <c r="C266" s="14"/>
      <c r="D266" s="14"/>
      <c r="E266" s="4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customHeight="1" x14ac:dyDescent="0.25">
      <c r="A267" s="14"/>
      <c r="B267" s="14"/>
      <c r="C267" s="14"/>
      <c r="D267" s="14"/>
      <c r="E267" s="4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customHeight="1" x14ac:dyDescent="0.25">
      <c r="A268" s="14"/>
      <c r="B268" s="14"/>
      <c r="C268" s="14"/>
      <c r="D268" s="14"/>
      <c r="E268" s="4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customHeight="1" x14ac:dyDescent="0.25">
      <c r="A269" s="14"/>
      <c r="B269" s="14"/>
      <c r="C269" s="14"/>
      <c r="D269" s="14"/>
      <c r="E269" s="4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customHeight="1" x14ac:dyDescent="0.25">
      <c r="A270" s="14"/>
      <c r="B270" s="14"/>
      <c r="C270" s="14"/>
      <c r="D270" s="14"/>
      <c r="E270" s="4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customHeight="1" x14ac:dyDescent="0.25">
      <c r="A271" s="14"/>
      <c r="B271" s="14"/>
      <c r="C271" s="14"/>
      <c r="D271" s="14"/>
      <c r="E271" s="4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customHeight="1" x14ac:dyDescent="0.25">
      <c r="A272" s="14"/>
      <c r="B272" s="14"/>
      <c r="C272" s="14"/>
      <c r="D272" s="14"/>
      <c r="E272" s="4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customHeight="1" x14ac:dyDescent="0.25">
      <c r="A273" s="14"/>
      <c r="B273" s="14"/>
      <c r="C273" s="14"/>
      <c r="D273" s="14"/>
      <c r="E273" s="4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customHeight="1" x14ac:dyDescent="0.25">
      <c r="A274" s="14"/>
      <c r="B274" s="14"/>
      <c r="C274" s="14"/>
      <c r="D274" s="14"/>
      <c r="E274" s="4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customHeight="1" x14ac:dyDescent="0.25">
      <c r="A275" s="14"/>
      <c r="B275" s="14"/>
      <c r="C275" s="14"/>
      <c r="D275" s="14"/>
      <c r="E275" s="4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customHeight="1" x14ac:dyDescent="0.25">
      <c r="A276" s="14"/>
      <c r="B276" s="14"/>
      <c r="C276" s="14"/>
      <c r="D276" s="14"/>
      <c r="E276" s="4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customHeight="1" x14ac:dyDescent="0.25">
      <c r="A277" s="14"/>
      <c r="B277" s="14"/>
      <c r="C277" s="14"/>
      <c r="D277" s="14"/>
      <c r="E277" s="4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customHeight="1" x14ac:dyDescent="0.25">
      <c r="A278" s="14"/>
      <c r="B278" s="14"/>
      <c r="C278" s="14"/>
      <c r="D278" s="14"/>
      <c r="E278" s="4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customHeight="1" x14ac:dyDescent="0.25">
      <c r="A279" s="14"/>
      <c r="B279" s="14"/>
      <c r="C279" s="14"/>
      <c r="D279" s="14"/>
      <c r="E279" s="4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customHeight="1" x14ac:dyDescent="0.25">
      <c r="A280" s="14"/>
      <c r="B280" s="14"/>
      <c r="C280" s="14"/>
      <c r="D280" s="14"/>
      <c r="E280" s="4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customHeight="1" x14ac:dyDescent="0.25">
      <c r="A281" s="14"/>
      <c r="B281" s="14"/>
      <c r="C281" s="14"/>
      <c r="D281" s="14"/>
      <c r="E281" s="4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customHeight="1" x14ac:dyDescent="0.25">
      <c r="A282" s="14"/>
      <c r="B282" s="14"/>
      <c r="C282" s="14"/>
      <c r="D282" s="14"/>
      <c r="E282" s="4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customHeight="1" x14ac:dyDescent="0.25">
      <c r="A283" s="14"/>
      <c r="B283" s="14"/>
      <c r="C283" s="14"/>
      <c r="D283" s="14"/>
      <c r="E283" s="4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customHeight="1" x14ac:dyDescent="0.25">
      <c r="A284" s="14"/>
      <c r="B284" s="14"/>
      <c r="C284" s="14"/>
      <c r="D284" s="14"/>
      <c r="E284" s="4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customHeight="1" x14ac:dyDescent="0.25">
      <c r="A285" s="14"/>
      <c r="B285" s="14"/>
      <c r="C285" s="14"/>
      <c r="D285" s="14"/>
      <c r="E285" s="4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customHeight="1" x14ac:dyDescent="0.25">
      <c r="A286" s="14"/>
      <c r="B286" s="14"/>
      <c r="C286" s="14"/>
      <c r="D286" s="14"/>
      <c r="E286" s="4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customHeight="1" x14ac:dyDescent="0.25">
      <c r="A287" s="14"/>
      <c r="B287" s="14"/>
      <c r="C287" s="14"/>
      <c r="D287" s="14"/>
      <c r="E287" s="4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customHeight="1" x14ac:dyDescent="0.25">
      <c r="A288" s="14"/>
      <c r="B288" s="14"/>
      <c r="C288" s="14"/>
      <c r="D288" s="14"/>
      <c r="E288" s="4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customHeight="1" x14ac:dyDescent="0.25">
      <c r="A289" s="14"/>
      <c r="B289" s="14"/>
      <c r="C289" s="14"/>
      <c r="D289" s="14"/>
      <c r="E289" s="4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customHeight="1" x14ac:dyDescent="0.25">
      <c r="A290" s="14"/>
      <c r="B290" s="14"/>
      <c r="C290" s="14"/>
      <c r="D290" s="14"/>
      <c r="E290" s="4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customHeight="1" x14ac:dyDescent="0.25">
      <c r="A291" s="14"/>
      <c r="B291" s="14"/>
      <c r="C291" s="14"/>
      <c r="D291" s="14"/>
      <c r="E291" s="4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customHeight="1" x14ac:dyDescent="0.25">
      <c r="A292" s="14"/>
      <c r="B292" s="14"/>
      <c r="C292" s="14"/>
      <c r="D292" s="14"/>
      <c r="E292" s="4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customHeight="1" x14ac:dyDescent="0.25">
      <c r="A293" s="14"/>
      <c r="B293" s="14"/>
      <c r="C293" s="14"/>
      <c r="D293" s="14"/>
      <c r="E293" s="4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customHeight="1" x14ac:dyDescent="0.25">
      <c r="A294" s="14"/>
      <c r="B294" s="14"/>
      <c r="C294" s="14"/>
      <c r="D294" s="14"/>
      <c r="E294" s="4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customHeight="1" x14ac:dyDescent="0.25">
      <c r="A295" s="14"/>
      <c r="B295" s="14"/>
      <c r="C295" s="14"/>
      <c r="D295" s="14"/>
      <c r="E295" s="4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customHeight="1" x14ac:dyDescent="0.25">
      <c r="A296" s="14"/>
      <c r="B296" s="14"/>
      <c r="C296" s="14"/>
      <c r="D296" s="14"/>
      <c r="E296" s="4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customHeight="1" x14ac:dyDescent="0.25">
      <c r="A297" s="14"/>
      <c r="B297" s="14"/>
      <c r="C297" s="14"/>
      <c r="D297" s="14"/>
      <c r="E297" s="4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customHeight="1" x14ac:dyDescent="0.25">
      <c r="A298" s="14"/>
      <c r="B298" s="14"/>
      <c r="C298" s="14"/>
      <c r="D298" s="14"/>
      <c r="E298" s="4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customHeight="1" x14ac:dyDescent="0.25">
      <c r="A299" s="14"/>
      <c r="B299" s="14"/>
      <c r="C299" s="14"/>
      <c r="D299" s="14"/>
      <c r="E299" s="4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customHeight="1" x14ac:dyDescent="0.25">
      <c r="A300" s="14"/>
      <c r="B300" s="14"/>
      <c r="C300" s="14"/>
      <c r="D300" s="14"/>
      <c r="E300" s="4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customHeight="1" x14ac:dyDescent="0.25">
      <c r="A301" s="14"/>
      <c r="B301" s="14"/>
      <c r="C301" s="14"/>
      <c r="D301" s="14"/>
      <c r="E301" s="4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customHeight="1" x14ac:dyDescent="0.25">
      <c r="A302" s="14"/>
      <c r="B302" s="14"/>
      <c r="C302" s="14"/>
      <c r="D302" s="14"/>
      <c r="E302" s="4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customHeight="1" x14ac:dyDescent="0.25">
      <c r="A303" s="14"/>
      <c r="B303" s="14"/>
      <c r="C303" s="14"/>
      <c r="D303" s="14"/>
      <c r="E303" s="4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customHeight="1" x14ac:dyDescent="0.25">
      <c r="A304" s="14"/>
      <c r="B304" s="14"/>
      <c r="C304" s="14"/>
      <c r="D304" s="14"/>
      <c r="E304" s="4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customHeight="1" x14ac:dyDescent="0.25">
      <c r="A305" s="14"/>
      <c r="B305" s="14"/>
      <c r="C305" s="14"/>
      <c r="D305" s="14"/>
      <c r="E305" s="4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customHeight="1" x14ac:dyDescent="0.25">
      <c r="A306" s="14"/>
      <c r="B306" s="14"/>
      <c r="C306" s="14"/>
      <c r="D306" s="14"/>
      <c r="E306" s="4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customHeight="1" x14ac:dyDescent="0.25">
      <c r="A307" s="14"/>
      <c r="B307" s="14"/>
      <c r="C307" s="14"/>
      <c r="D307" s="14"/>
      <c r="E307" s="4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customHeight="1" x14ac:dyDescent="0.25">
      <c r="A308" s="14"/>
      <c r="B308" s="14"/>
      <c r="C308" s="14"/>
      <c r="D308" s="14"/>
      <c r="E308" s="4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customHeight="1" x14ac:dyDescent="0.25">
      <c r="A309" s="14"/>
      <c r="B309" s="14"/>
      <c r="C309" s="14"/>
      <c r="D309" s="14"/>
      <c r="E309" s="4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customHeight="1" x14ac:dyDescent="0.25">
      <c r="A310" s="14"/>
      <c r="B310" s="14"/>
      <c r="C310" s="14"/>
      <c r="D310" s="14"/>
      <c r="E310" s="4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customHeight="1" x14ac:dyDescent="0.25">
      <c r="A311" s="14"/>
      <c r="B311" s="14"/>
      <c r="C311" s="14"/>
      <c r="D311" s="14"/>
      <c r="E311" s="4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customHeight="1" x14ac:dyDescent="0.25">
      <c r="A312" s="14"/>
      <c r="B312" s="14"/>
      <c r="C312" s="14"/>
      <c r="D312" s="14"/>
      <c r="E312" s="4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customHeight="1" x14ac:dyDescent="0.25">
      <c r="A313" s="14"/>
      <c r="B313" s="14"/>
      <c r="C313" s="14"/>
      <c r="D313" s="14"/>
      <c r="E313" s="4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customHeight="1" x14ac:dyDescent="0.25">
      <c r="A314" s="14"/>
      <c r="B314" s="14"/>
      <c r="C314" s="14"/>
      <c r="D314" s="14"/>
      <c r="E314" s="4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customHeight="1" x14ac:dyDescent="0.25">
      <c r="A315" s="14"/>
      <c r="B315" s="14"/>
      <c r="C315" s="14"/>
      <c r="D315" s="14"/>
      <c r="E315" s="4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customHeight="1" x14ac:dyDescent="0.25">
      <c r="A316" s="14"/>
      <c r="B316" s="14"/>
      <c r="C316" s="14"/>
      <c r="D316" s="14"/>
      <c r="E316" s="4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customHeight="1" x14ac:dyDescent="0.25">
      <c r="A317" s="14"/>
      <c r="B317" s="14"/>
      <c r="C317" s="14"/>
      <c r="D317" s="14"/>
      <c r="E317" s="4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customHeight="1" x14ac:dyDescent="0.25">
      <c r="A318" s="14"/>
      <c r="B318" s="14"/>
      <c r="C318" s="14"/>
      <c r="D318" s="14"/>
      <c r="E318" s="4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customHeight="1" x14ac:dyDescent="0.25">
      <c r="A319" s="14"/>
      <c r="B319" s="14"/>
      <c r="C319" s="14"/>
      <c r="D319" s="14"/>
      <c r="E319" s="4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customHeight="1" x14ac:dyDescent="0.25">
      <c r="A320" s="14"/>
      <c r="B320" s="14"/>
      <c r="C320" s="14"/>
      <c r="D320" s="14"/>
      <c r="E320" s="4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customHeight="1" x14ac:dyDescent="0.25">
      <c r="A321" s="14"/>
      <c r="B321" s="14"/>
      <c r="C321" s="14"/>
      <c r="D321" s="14"/>
      <c r="E321" s="4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customHeight="1" x14ac:dyDescent="0.25">
      <c r="A322" s="14"/>
      <c r="B322" s="14"/>
      <c r="C322" s="14"/>
      <c r="D322" s="14"/>
      <c r="E322" s="4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customHeight="1" x14ac:dyDescent="0.25">
      <c r="A323" s="14"/>
      <c r="B323" s="14"/>
      <c r="C323" s="14"/>
      <c r="D323" s="14"/>
      <c r="E323" s="4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customHeight="1" x14ac:dyDescent="0.25">
      <c r="A324" s="14"/>
      <c r="B324" s="14"/>
      <c r="C324" s="14"/>
      <c r="D324" s="14"/>
      <c r="E324" s="4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customHeight="1" x14ac:dyDescent="0.25">
      <c r="A325" s="14"/>
      <c r="B325" s="14"/>
      <c r="C325" s="14"/>
      <c r="D325" s="14"/>
      <c r="E325" s="4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customHeight="1" x14ac:dyDescent="0.25">
      <c r="A326" s="14"/>
      <c r="B326" s="14"/>
      <c r="C326" s="14"/>
      <c r="D326" s="14"/>
      <c r="E326" s="4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customHeight="1" x14ac:dyDescent="0.25">
      <c r="A327" s="14"/>
      <c r="B327" s="14"/>
      <c r="C327" s="14"/>
      <c r="D327" s="14"/>
      <c r="E327" s="4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customHeight="1" x14ac:dyDescent="0.25">
      <c r="A328" s="14"/>
      <c r="B328" s="14"/>
      <c r="C328" s="14"/>
      <c r="D328" s="14"/>
      <c r="E328" s="4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customHeight="1" x14ac:dyDescent="0.25">
      <c r="A329" s="14"/>
      <c r="B329" s="14"/>
      <c r="C329" s="14"/>
      <c r="D329" s="14"/>
      <c r="E329" s="4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customHeight="1" x14ac:dyDescent="0.25">
      <c r="A330" s="14"/>
      <c r="B330" s="14"/>
      <c r="C330" s="14"/>
      <c r="D330" s="14"/>
      <c r="E330" s="4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customHeight="1" x14ac:dyDescent="0.25">
      <c r="A331" s="14"/>
      <c r="B331" s="14"/>
      <c r="C331" s="14"/>
      <c r="D331" s="14"/>
      <c r="E331" s="4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customHeight="1" x14ac:dyDescent="0.25">
      <c r="A332" s="14"/>
      <c r="B332" s="14"/>
      <c r="C332" s="14"/>
      <c r="D332" s="14"/>
      <c r="E332" s="4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customHeight="1" x14ac:dyDescent="0.25">
      <c r="A333" s="14"/>
      <c r="B333" s="14"/>
      <c r="C333" s="14"/>
      <c r="D333" s="14"/>
      <c r="E333" s="4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customHeight="1" x14ac:dyDescent="0.25">
      <c r="A334" s="14"/>
      <c r="B334" s="14"/>
      <c r="C334" s="14"/>
      <c r="D334" s="14"/>
      <c r="E334" s="4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customHeight="1" x14ac:dyDescent="0.25">
      <c r="A335" s="14"/>
      <c r="B335" s="14"/>
      <c r="C335" s="14"/>
      <c r="D335" s="14"/>
      <c r="E335" s="4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customHeight="1" x14ac:dyDescent="0.25">
      <c r="A336" s="14"/>
      <c r="B336" s="14"/>
      <c r="C336" s="14"/>
      <c r="D336" s="14"/>
      <c r="E336" s="4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customHeight="1" x14ac:dyDescent="0.25">
      <c r="A337" s="14"/>
      <c r="B337" s="14"/>
      <c r="C337" s="14"/>
      <c r="D337" s="14"/>
      <c r="E337" s="4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customHeight="1" x14ac:dyDescent="0.25">
      <c r="A338" s="14"/>
      <c r="B338" s="14"/>
      <c r="C338" s="14"/>
      <c r="D338" s="14"/>
      <c r="E338" s="4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customHeight="1" x14ac:dyDescent="0.25">
      <c r="A339" s="14"/>
      <c r="B339" s="14"/>
      <c r="C339" s="14"/>
      <c r="D339" s="14"/>
      <c r="E339" s="4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customHeight="1" x14ac:dyDescent="0.25">
      <c r="A340" s="14"/>
      <c r="B340" s="14"/>
      <c r="C340" s="14"/>
      <c r="D340" s="14"/>
      <c r="E340" s="4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customHeight="1" x14ac:dyDescent="0.25">
      <c r="A341" s="14"/>
      <c r="B341" s="14"/>
      <c r="C341" s="14"/>
      <c r="D341" s="14"/>
      <c r="E341" s="4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customHeight="1" x14ac:dyDescent="0.25">
      <c r="A342" s="14"/>
      <c r="B342" s="14"/>
      <c r="C342" s="14"/>
      <c r="D342" s="14"/>
      <c r="E342" s="4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customHeight="1" x14ac:dyDescent="0.25">
      <c r="A343" s="14"/>
      <c r="B343" s="14"/>
      <c r="C343" s="14"/>
      <c r="D343" s="14"/>
      <c r="E343" s="4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customHeight="1" x14ac:dyDescent="0.25">
      <c r="A344" s="14"/>
      <c r="B344" s="14"/>
      <c r="C344" s="14"/>
      <c r="D344" s="14"/>
      <c r="E344" s="4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customHeight="1" x14ac:dyDescent="0.25">
      <c r="A345" s="14"/>
      <c r="B345" s="14"/>
      <c r="C345" s="14"/>
      <c r="D345" s="14"/>
      <c r="E345" s="4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customHeight="1" x14ac:dyDescent="0.25">
      <c r="A346" s="14"/>
      <c r="B346" s="14"/>
      <c r="C346" s="14"/>
      <c r="D346" s="14"/>
      <c r="E346" s="4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customHeight="1" x14ac:dyDescent="0.25">
      <c r="A347" s="14"/>
      <c r="B347" s="14"/>
      <c r="C347" s="14"/>
      <c r="D347" s="14"/>
      <c r="E347" s="4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customHeight="1" x14ac:dyDescent="0.25">
      <c r="A348" s="14"/>
      <c r="B348" s="14"/>
      <c r="C348" s="14"/>
      <c r="D348" s="14"/>
      <c r="E348" s="4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customHeight="1" x14ac:dyDescent="0.25">
      <c r="A349" s="14"/>
      <c r="B349" s="14"/>
      <c r="C349" s="14"/>
      <c r="D349" s="14"/>
      <c r="E349" s="4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customHeight="1" x14ac:dyDescent="0.25">
      <c r="A350" s="14"/>
      <c r="B350" s="14"/>
      <c r="C350" s="14"/>
      <c r="D350" s="14"/>
      <c r="E350" s="4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customHeight="1" x14ac:dyDescent="0.25">
      <c r="A351" s="14"/>
      <c r="B351" s="14"/>
      <c r="C351" s="14"/>
      <c r="D351" s="14"/>
      <c r="E351" s="4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customHeight="1" x14ac:dyDescent="0.25">
      <c r="A352" s="14"/>
      <c r="B352" s="14"/>
      <c r="C352" s="14"/>
      <c r="D352" s="14"/>
      <c r="E352" s="4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customHeight="1" x14ac:dyDescent="0.25">
      <c r="A353" s="14"/>
      <c r="B353" s="14"/>
      <c r="C353" s="14"/>
      <c r="D353" s="14"/>
      <c r="E353" s="4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customHeight="1" x14ac:dyDescent="0.25">
      <c r="A354" s="14"/>
      <c r="B354" s="14"/>
      <c r="C354" s="14"/>
      <c r="D354" s="14"/>
      <c r="E354" s="4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customHeight="1" x14ac:dyDescent="0.25">
      <c r="A355" s="14"/>
      <c r="B355" s="14"/>
      <c r="C355" s="14"/>
      <c r="D355" s="14"/>
      <c r="E355" s="4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customHeight="1" x14ac:dyDescent="0.25">
      <c r="A356" s="14"/>
      <c r="B356" s="14"/>
      <c r="C356" s="14"/>
      <c r="D356" s="14"/>
      <c r="E356" s="4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customHeight="1" x14ac:dyDescent="0.25">
      <c r="A357" s="14"/>
      <c r="B357" s="14"/>
      <c r="C357" s="14"/>
      <c r="D357" s="14"/>
      <c r="E357" s="4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customHeight="1" x14ac:dyDescent="0.25">
      <c r="A358" s="14"/>
      <c r="B358" s="14"/>
      <c r="C358" s="14"/>
      <c r="D358" s="14"/>
      <c r="E358" s="4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customHeight="1" x14ac:dyDescent="0.25">
      <c r="A359" s="14"/>
      <c r="B359" s="14"/>
      <c r="C359" s="14"/>
      <c r="D359" s="14"/>
      <c r="E359" s="4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customHeight="1" x14ac:dyDescent="0.25">
      <c r="A360" s="14"/>
      <c r="B360" s="14"/>
      <c r="C360" s="14"/>
      <c r="D360" s="14"/>
      <c r="E360" s="4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customHeight="1" x14ac:dyDescent="0.25">
      <c r="A361" s="14"/>
      <c r="B361" s="14"/>
      <c r="C361" s="14"/>
      <c r="D361" s="14"/>
      <c r="E361" s="4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customHeight="1" x14ac:dyDescent="0.25">
      <c r="A362" s="14"/>
      <c r="B362" s="14"/>
      <c r="C362" s="14"/>
      <c r="D362" s="14"/>
      <c r="E362" s="4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customHeight="1" x14ac:dyDescent="0.25">
      <c r="A363" s="14"/>
      <c r="B363" s="14"/>
      <c r="C363" s="14"/>
      <c r="D363" s="14"/>
      <c r="E363" s="4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customHeight="1" x14ac:dyDescent="0.25">
      <c r="A364" s="14"/>
      <c r="B364" s="14"/>
      <c r="C364" s="14"/>
      <c r="D364" s="14"/>
      <c r="E364" s="4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customHeight="1" x14ac:dyDescent="0.25">
      <c r="A365" s="14"/>
      <c r="B365" s="14"/>
      <c r="C365" s="14"/>
      <c r="D365" s="14"/>
      <c r="E365" s="4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customHeight="1" x14ac:dyDescent="0.25">
      <c r="A366" s="14"/>
      <c r="B366" s="14"/>
      <c r="C366" s="14"/>
      <c r="D366" s="14"/>
      <c r="E366" s="4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customHeight="1" x14ac:dyDescent="0.25">
      <c r="A367" s="14"/>
      <c r="B367" s="14"/>
      <c r="C367" s="14"/>
      <c r="D367" s="14"/>
      <c r="E367" s="4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customHeight="1" x14ac:dyDescent="0.25">
      <c r="A368" s="14"/>
      <c r="B368" s="14"/>
      <c r="C368" s="14"/>
      <c r="D368" s="14"/>
      <c r="E368" s="4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customHeight="1" x14ac:dyDescent="0.25">
      <c r="A369" s="14"/>
      <c r="B369" s="14"/>
      <c r="C369" s="14"/>
      <c r="D369" s="14"/>
      <c r="E369" s="4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customHeight="1" x14ac:dyDescent="0.25">
      <c r="A370" s="14"/>
      <c r="B370" s="14"/>
      <c r="C370" s="14"/>
      <c r="D370" s="14"/>
      <c r="E370" s="4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customHeight="1" x14ac:dyDescent="0.25">
      <c r="A371" s="14"/>
      <c r="B371" s="14"/>
      <c r="C371" s="14"/>
      <c r="D371" s="14"/>
      <c r="E371" s="4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customHeight="1" x14ac:dyDescent="0.25">
      <c r="A372" s="14"/>
      <c r="B372" s="14"/>
      <c r="C372" s="14"/>
      <c r="D372" s="14"/>
      <c r="E372" s="4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customHeight="1" x14ac:dyDescent="0.25">
      <c r="A373" s="14"/>
      <c r="B373" s="14"/>
      <c r="C373" s="14"/>
      <c r="D373" s="14"/>
      <c r="E373" s="4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customHeight="1" x14ac:dyDescent="0.25">
      <c r="A374" s="14"/>
      <c r="B374" s="14"/>
      <c r="C374" s="14"/>
      <c r="D374" s="14"/>
      <c r="E374" s="4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customHeight="1" x14ac:dyDescent="0.25">
      <c r="A375" s="14"/>
      <c r="B375" s="14"/>
      <c r="C375" s="14"/>
      <c r="D375" s="14"/>
      <c r="E375" s="4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customHeight="1" x14ac:dyDescent="0.25">
      <c r="A376" s="14"/>
      <c r="B376" s="14"/>
      <c r="C376" s="14"/>
      <c r="D376" s="14"/>
      <c r="E376" s="4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customHeight="1" x14ac:dyDescent="0.25">
      <c r="A377" s="14"/>
      <c r="B377" s="14"/>
      <c r="C377" s="14"/>
      <c r="D377" s="14"/>
      <c r="E377" s="4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customHeight="1" x14ac:dyDescent="0.25">
      <c r="A378" s="14"/>
      <c r="B378" s="14"/>
      <c r="C378" s="14"/>
      <c r="D378" s="14"/>
      <c r="E378" s="4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customHeight="1" x14ac:dyDescent="0.25">
      <c r="A379" s="14"/>
      <c r="B379" s="14"/>
      <c r="C379" s="14"/>
      <c r="D379" s="14"/>
      <c r="E379" s="4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customHeight="1" x14ac:dyDescent="0.25">
      <c r="A380" s="14"/>
      <c r="B380" s="14"/>
      <c r="C380" s="14"/>
      <c r="D380" s="14"/>
      <c r="E380" s="4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customHeight="1" x14ac:dyDescent="0.25">
      <c r="A381" s="14"/>
      <c r="B381" s="14"/>
      <c r="C381" s="14"/>
      <c r="D381" s="14"/>
      <c r="E381" s="4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customHeight="1" x14ac:dyDescent="0.25">
      <c r="A382" s="14"/>
      <c r="B382" s="14"/>
      <c r="C382" s="14"/>
      <c r="D382" s="14"/>
      <c r="E382" s="4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customHeight="1" x14ac:dyDescent="0.25">
      <c r="A383" s="14"/>
      <c r="B383" s="14"/>
      <c r="C383" s="14"/>
      <c r="D383" s="14"/>
      <c r="E383" s="4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customHeight="1" x14ac:dyDescent="0.25">
      <c r="A384" s="14"/>
      <c r="B384" s="14"/>
      <c r="C384" s="14"/>
      <c r="D384" s="14"/>
      <c r="E384" s="4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customHeight="1" x14ac:dyDescent="0.25">
      <c r="A385" s="14"/>
      <c r="B385" s="14"/>
      <c r="C385" s="14"/>
      <c r="D385" s="14"/>
      <c r="E385" s="4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customHeight="1" x14ac:dyDescent="0.25">
      <c r="A386" s="14"/>
      <c r="B386" s="14"/>
      <c r="C386" s="14"/>
      <c r="D386" s="14"/>
      <c r="E386" s="4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customHeight="1" x14ac:dyDescent="0.25">
      <c r="A387" s="14"/>
      <c r="B387" s="14"/>
      <c r="C387" s="14"/>
      <c r="D387" s="14"/>
      <c r="E387" s="4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customHeight="1" x14ac:dyDescent="0.25">
      <c r="A388" s="14"/>
      <c r="B388" s="14"/>
      <c r="C388" s="14"/>
      <c r="D388" s="14"/>
      <c r="E388" s="4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customHeight="1" x14ac:dyDescent="0.25">
      <c r="A389" s="14"/>
      <c r="B389" s="14"/>
      <c r="C389" s="14"/>
      <c r="D389" s="14"/>
      <c r="E389" s="4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customHeight="1" x14ac:dyDescent="0.25">
      <c r="A390" s="14"/>
      <c r="B390" s="14"/>
      <c r="C390" s="14"/>
      <c r="D390" s="14"/>
      <c r="E390" s="4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customHeight="1" x14ac:dyDescent="0.25">
      <c r="A391" s="14"/>
      <c r="B391" s="14"/>
      <c r="C391" s="14"/>
      <c r="D391" s="14"/>
      <c r="E391" s="4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customHeight="1" x14ac:dyDescent="0.25">
      <c r="A392" s="14"/>
      <c r="B392" s="14"/>
      <c r="C392" s="14"/>
      <c r="D392" s="14"/>
      <c r="E392" s="4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customHeight="1" x14ac:dyDescent="0.25">
      <c r="A393" s="14"/>
      <c r="B393" s="14"/>
      <c r="C393" s="14"/>
      <c r="D393" s="14"/>
      <c r="E393" s="4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customHeight="1" x14ac:dyDescent="0.25">
      <c r="A394" s="14"/>
      <c r="B394" s="14"/>
      <c r="C394" s="14"/>
      <c r="D394" s="14"/>
      <c r="E394" s="4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customHeight="1" x14ac:dyDescent="0.25">
      <c r="A395" s="14"/>
      <c r="B395" s="14"/>
      <c r="C395" s="14"/>
      <c r="D395" s="14"/>
      <c r="E395" s="4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customHeight="1" x14ac:dyDescent="0.25">
      <c r="A396" s="14"/>
      <c r="B396" s="14"/>
      <c r="C396" s="14"/>
      <c r="D396" s="14"/>
      <c r="E396" s="4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customHeight="1" x14ac:dyDescent="0.25">
      <c r="A397" s="14"/>
      <c r="B397" s="14"/>
      <c r="C397" s="14"/>
      <c r="D397" s="14"/>
      <c r="E397" s="4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customHeight="1" x14ac:dyDescent="0.25">
      <c r="A398" s="14"/>
      <c r="B398" s="14"/>
      <c r="C398" s="14"/>
      <c r="D398" s="14"/>
      <c r="E398" s="4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customHeight="1" x14ac:dyDescent="0.25">
      <c r="A399" s="14"/>
      <c r="B399" s="14"/>
      <c r="C399" s="14"/>
      <c r="D399" s="14"/>
      <c r="E399" s="4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customHeight="1" x14ac:dyDescent="0.25">
      <c r="A400" s="14"/>
      <c r="B400" s="14"/>
      <c r="C400" s="14"/>
      <c r="D400" s="14"/>
      <c r="E400" s="4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customHeight="1" x14ac:dyDescent="0.25">
      <c r="A401" s="14"/>
      <c r="B401" s="14"/>
      <c r="C401" s="14"/>
      <c r="D401" s="14"/>
      <c r="E401" s="4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customHeight="1" x14ac:dyDescent="0.25">
      <c r="A402" s="14"/>
      <c r="B402" s="14"/>
      <c r="C402" s="14"/>
      <c r="D402" s="14"/>
      <c r="E402" s="4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customHeight="1" x14ac:dyDescent="0.25">
      <c r="A403" s="14"/>
      <c r="B403" s="14"/>
      <c r="C403" s="14"/>
      <c r="D403" s="14"/>
      <c r="E403" s="4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customHeight="1" x14ac:dyDescent="0.25">
      <c r="A404" s="14"/>
      <c r="B404" s="14"/>
      <c r="C404" s="14"/>
      <c r="D404" s="14"/>
      <c r="E404" s="4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customHeight="1" x14ac:dyDescent="0.25">
      <c r="A405" s="14"/>
      <c r="B405" s="14"/>
      <c r="C405" s="14"/>
      <c r="D405" s="14"/>
      <c r="E405" s="4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customHeight="1" x14ac:dyDescent="0.25">
      <c r="A406" s="14"/>
      <c r="B406" s="14"/>
      <c r="C406" s="14"/>
      <c r="D406" s="14"/>
      <c r="E406" s="4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customHeight="1" x14ac:dyDescent="0.25">
      <c r="A407" s="14"/>
      <c r="B407" s="14"/>
      <c r="C407" s="14"/>
      <c r="D407" s="14"/>
      <c r="E407" s="4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customHeight="1" x14ac:dyDescent="0.25">
      <c r="A408" s="14"/>
      <c r="B408" s="14"/>
      <c r="C408" s="14"/>
      <c r="D408" s="14"/>
      <c r="E408" s="4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customHeight="1" x14ac:dyDescent="0.25">
      <c r="A409" s="14"/>
      <c r="B409" s="14"/>
      <c r="C409" s="14"/>
      <c r="D409" s="14"/>
      <c r="E409" s="4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customHeight="1" x14ac:dyDescent="0.25">
      <c r="A410" s="14"/>
      <c r="B410" s="14"/>
      <c r="C410" s="14"/>
      <c r="D410" s="14"/>
      <c r="E410" s="4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customHeight="1" x14ac:dyDescent="0.25">
      <c r="A411" s="14"/>
      <c r="B411" s="14"/>
      <c r="C411" s="14"/>
      <c r="D411" s="14"/>
      <c r="E411" s="4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customHeight="1" x14ac:dyDescent="0.25">
      <c r="A412" s="14"/>
      <c r="B412" s="14"/>
      <c r="C412" s="14"/>
      <c r="D412" s="14"/>
      <c r="E412" s="4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customHeight="1" x14ac:dyDescent="0.25">
      <c r="A413" s="14"/>
      <c r="B413" s="14"/>
      <c r="C413" s="14"/>
      <c r="D413" s="14"/>
      <c r="E413" s="4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customHeight="1" x14ac:dyDescent="0.25">
      <c r="A414" s="14"/>
      <c r="B414" s="14"/>
      <c r="C414" s="14"/>
      <c r="D414" s="14"/>
      <c r="E414" s="4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customHeight="1" x14ac:dyDescent="0.25">
      <c r="A415" s="14"/>
      <c r="B415" s="14"/>
      <c r="C415" s="14"/>
      <c r="D415" s="14"/>
      <c r="E415" s="4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customHeight="1" x14ac:dyDescent="0.25">
      <c r="A416" s="14"/>
      <c r="B416" s="14"/>
      <c r="C416" s="14"/>
      <c r="D416" s="14"/>
      <c r="E416" s="4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customHeight="1" x14ac:dyDescent="0.25">
      <c r="A417" s="14"/>
      <c r="B417" s="14"/>
      <c r="C417" s="14"/>
      <c r="D417" s="14"/>
      <c r="E417" s="4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customHeight="1" x14ac:dyDescent="0.25">
      <c r="A418" s="14"/>
      <c r="B418" s="14"/>
      <c r="C418" s="14"/>
      <c r="D418" s="14"/>
      <c r="E418" s="4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customHeight="1" x14ac:dyDescent="0.25">
      <c r="A419" s="14"/>
      <c r="B419" s="14"/>
      <c r="C419" s="14"/>
      <c r="D419" s="14"/>
      <c r="E419" s="4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customHeight="1" x14ac:dyDescent="0.25">
      <c r="A420" s="14"/>
      <c r="B420" s="14"/>
      <c r="C420" s="14"/>
      <c r="D420" s="14"/>
      <c r="E420" s="4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customHeight="1" x14ac:dyDescent="0.25">
      <c r="A421" s="14"/>
      <c r="B421" s="14"/>
      <c r="C421" s="14"/>
      <c r="D421" s="14"/>
      <c r="E421" s="4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customHeight="1" x14ac:dyDescent="0.25">
      <c r="A422" s="14"/>
      <c r="B422" s="14"/>
      <c r="C422" s="14"/>
      <c r="D422" s="14"/>
      <c r="E422" s="4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customHeight="1" x14ac:dyDescent="0.25">
      <c r="A423" s="14"/>
      <c r="B423" s="14"/>
      <c r="C423" s="14"/>
      <c r="D423" s="14"/>
      <c r="E423" s="4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customHeight="1" x14ac:dyDescent="0.25">
      <c r="A424" s="14"/>
      <c r="B424" s="14"/>
      <c r="C424" s="14"/>
      <c r="D424" s="14"/>
      <c r="E424" s="4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customHeight="1" x14ac:dyDescent="0.25">
      <c r="A425" s="14"/>
      <c r="B425" s="14"/>
      <c r="C425" s="14"/>
      <c r="D425" s="14"/>
      <c r="E425" s="4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customHeight="1" x14ac:dyDescent="0.25">
      <c r="A426" s="14"/>
      <c r="B426" s="14"/>
      <c r="C426" s="14"/>
      <c r="D426" s="14"/>
      <c r="E426" s="4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customHeight="1" x14ac:dyDescent="0.25">
      <c r="A427" s="14"/>
      <c r="B427" s="14"/>
      <c r="C427" s="14"/>
      <c r="D427" s="14"/>
      <c r="E427" s="4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customHeight="1" x14ac:dyDescent="0.25">
      <c r="A428" s="14"/>
      <c r="B428" s="14"/>
      <c r="C428" s="14"/>
      <c r="D428" s="14"/>
      <c r="E428" s="4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customHeight="1" x14ac:dyDescent="0.25">
      <c r="A429" s="14"/>
      <c r="B429" s="14"/>
      <c r="C429" s="14"/>
      <c r="D429" s="14"/>
      <c r="E429" s="4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customHeight="1" x14ac:dyDescent="0.25">
      <c r="A430" s="14"/>
      <c r="B430" s="14"/>
      <c r="C430" s="14"/>
      <c r="D430" s="14"/>
      <c r="E430" s="4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customHeight="1" x14ac:dyDescent="0.25">
      <c r="A431" s="14"/>
      <c r="B431" s="14"/>
      <c r="C431" s="14"/>
      <c r="D431" s="14"/>
      <c r="E431" s="4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customHeight="1" x14ac:dyDescent="0.25">
      <c r="A432" s="14"/>
      <c r="B432" s="14"/>
      <c r="C432" s="14"/>
      <c r="D432" s="14"/>
      <c r="E432" s="4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customHeight="1" x14ac:dyDescent="0.25">
      <c r="A433" s="14"/>
      <c r="B433" s="14"/>
      <c r="C433" s="14"/>
      <c r="D433" s="14"/>
      <c r="E433" s="4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customHeight="1" x14ac:dyDescent="0.25">
      <c r="A434" s="14"/>
      <c r="B434" s="14"/>
      <c r="C434" s="14"/>
      <c r="D434" s="14"/>
      <c r="E434" s="4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customHeight="1" x14ac:dyDescent="0.25">
      <c r="A435" s="14"/>
      <c r="B435" s="14"/>
      <c r="C435" s="14"/>
      <c r="D435" s="14"/>
      <c r="E435" s="4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customHeight="1" x14ac:dyDescent="0.25">
      <c r="A436" s="14"/>
      <c r="B436" s="14"/>
      <c r="C436" s="14"/>
      <c r="D436" s="14"/>
      <c r="E436" s="4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customHeight="1" x14ac:dyDescent="0.25">
      <c r="A437" s="14"/>
      <c r="B437" s="14"/>
      <c r="C437" s="14"/>
      <c r="D437" s="14"/>
      <c r="E437" s="4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customHeight="1" x14ac:dyDescent="0.25">
      <c r="A438" s="14"/>
      <c r="B438" s="14"/>
      <c r="C438" s="14"/>
      <c r="D438" s="14"/>
      <c r="E438" s="4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customHeight="1" x14ac:dyDescent="0.25">
      <c r="A439" s="14"/>
      <c r="B439" s="14"/>
      <c r="C439" s="14"/>
      <c r="D439" s="14"/>
      <c r="E439" s="4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customHeight="1" x14ac:dyDescent="0.25">
      <c r="A440" s="14"/>
      <c r="B440" s="14"/>
      <c r="C440" s="14"/>
      <c r="D440" s="14"/>
      <c r="E440" s="4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customHeight="1" x14ac:dyDescent="0.25">
      <c r="A441" s="14"/>
      <c r="B441" s="14"/>
      <c r="C441" s="14"/>
      <c r="D441" s="14"/>
      <c r="E441" s="4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customHeight="1" x14ac:dyDescent="0.25">
      <c r="A442" s="14"/>
      <c r="B442" s="14"/>
      <c r="C442" s="14"/>
      <c r="D442" s="14"/>
      <c r="E442" s="4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customHeight="1" x14ac:dyDescent="0.25">
      <c r="A443" s="14"/>
      <c r="B443" s="14"/>
      <c r="C443" s="14"/>
      <c r="D443" s="14"/>
      <c r="E443" s="4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customHeight="1" x14ac:dyDescent="0.25">
      <c r="A444" s="14"/>
      <c r="B444" s="14"/>
      <c r="C444" s="14"/>
      <c r="D444" s="14"/>
      <c r="E444" s="4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customHeight="1" x14ac:dyDescent="0.25">
      <c r="A445" s="14"/>
      <c r="B445" s="14"/>
      <c r="C445" s="14"/>
      <c r="D445" s="14"/>
      <c r="E445" s="4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customHeight="1" x14ac:dyDescent="0.25">
      <c r="A446" s="14"/>
      <c r="B446" s="14"/>
      <c r="C446" s="14"/>
      <c r="D446" s="14"/>
      <c r="E446" s="4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customHeight="1" x14ac:dyDescent="0.25">
      <c r="A447" s="14"/>
      <c r="B447" s="14"/>
      <c r="C447" s="14"/>
      <c r="D447" s="14"/>
      <c r="E447" s="4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customHeight="1" x14ac:dyDescent="0.25">
      <c r="A448" s="14"/>
      <c r="B448" s="14"/>
      <c r="C448" s="14"/>
      <c r="D448" s="14"/>
      <c r="E448" s="4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customHeight="1" x14ac:dyDescent="0.25">
      <c r="A449" s="14"/>
      <c r="B449" s="14"/>
      <c r="C449" s="14"/>
      <c r="D449" s="14"/>
      <c r="E449" s="4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customHeight="1" x14ac:dyDescent="0.25">
      <c r="A450" s="14"/>
      <c r="B450" s="14"/>
      <c r="C450" s="14"/>
      <c r="D450" s="14"/>
      <c r="E450" s="4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customHeight="1" x14ac:dyDescent="0.25">
      <c r="A451" s="14"/>
      <c r="B451" s="14"/>
      <c r="C451" s="14"/>
      <c r="D451" s="14"/>
      <c r="E451" s="4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customHeight="1" x14ac:dyDescent="0.25">
      <c r="A452" s="14"/>
      <c r="B452" s="14"/>
      <c r="C452" s="14"/>
      <c r="D452" s="14"/>
      <c r="E452" s="4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customHeight="1" x14ac:dyDescent="0.25">
      <c r="A453" s="14"/>
      <c r="B453" s="14"/>
      <c r="C453" s="14"/>
      <c r="D453" s="14"/>
      <c r="E453" s="4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customHeight="1" x14ac:dyDescent="0.25">
      <c r="A454" s="14"/>
      <c r="B454" s="14"/>
      <c r="C454" s="14"/>
      <c r="D454" s="14"/>
      <c r="E454" s="4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customHeight="1" x14ac:dyDescent="0.25">
      <c r="A455" s="14"/>
      <c r="B455" s="14"/>
      <c r="C455" s="14"/>
      <c r="D455" s="14"/>
      <c r="E455" s="4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customHeight="1" x14ac:dyDescent="0.25">
      <c r="A456" s="14"/>
      <c r="B456" s="14"/>
      <c r="C456" s="14"/>
      <c r="D456" s="14"/>
      <c r="E456" s="4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customHeight="1" x14ac:dyDescent="0.25">
      <c r="A457" s="14"/>
      <c r="B457" s="14"/>
      <c r="C457" s="14"/>
      <c r="D457" s="14"/>
      <c r="E457" s="4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customHeight="1" x14ac:dyDescent="0.25">
      <c r="A458" s="14"/>
      <c r="B458" s="14"/>
      <c r="C458" s="14"/>
      <c r="D458" s="14"/>
      <c r="E458" s="4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customHeight="1" x14ac:dyDescent="0.25">
      <c r="A459" s="14"/>
      <c r="B459" s="14"/>
      <c r="C459" s="14"/>
      <c r="D459" s="14"/>
      <c r="E459" s="4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customHeight="1" x14ac:dyDescent="0.25">
      <c r="A460" s="14"/>
      <c r="B460" s="14"/>
      <c r="C460" s="14"/>
      <c r="D460" s="14"/>
      <c r="E460" s="4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customHeight="1" x14ac:dyDescent="0.25">
      <c r="A461" s="14"/>
      <c r="B461" s="14"/>
      <c r="C461" s="14"/>
      <c r="D461" s="14"/>
      <c r="E461" s="4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customHeight="1" x14ac:dyDescent="0.25">
      <c r="A462" s="14"/>
      <c r="B462" s="14"/>
      <c r="C462" s="14"/>
      <c r="D462" s="14"/>
      <c r="E462" s="4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customHeight="1" x14ac:dyDescent="0.25">
      <c r="A463" s="14"/>
      <c r="B463" s="14"/>
      <c r="C463" s="14"/>
      <c r="D463" s="14"/>
      <c r="E463" s="4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customHeight="1" x14ac:dyDescent="0.25">
      <c r="A464" s="14"/>
      <c r="B464" s="14"/>
      <c r="C464" s="14"/>
      <c r="D464" s="14"/>
      <c r="E464" s="4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customHeight="1" x14ac:dyDescent="0.25">
      <c r="A465" s="14"/>
      <c r="B465" s="14"/>
      <c r="C465" s="14"/>
      <c r="D465" s="14"/>
      <c r="E465" s="4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customHeight="1" x14ac:dyDescent="0.25">
      <c r="A466" s="14"/>
      <c r="B466" s="14"/>
      <c r="C466" s="14"/>
      <c r="D466" s="14"/>
      <c r="E466" s="4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customHeight="1" x14ac:dyDescent="0.25">
      <c r="A467" s="14"/>
      <c r="B467" s="14"/>
      <c r="C467" s="14"/>
      <c r="D467" s="14"/>
      <c r="E467" s="4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customHeight="1" x14ac:dyDescent="0.25">
      <c r="A468" s="14"/>
      <c r="B468" s="14"/>
      <c r="C468" s="14"/>
      <c r="D468" s="14"/>
      <c r="E468" s="4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customHeight="1" x14ac:dyDescent="0.25">
      <c r="A469" s="14"/>
      <c r="B469" s="14"/>
      <c r="C469" s="14"/>
      <c r="D469" s="14"/>
      <c r="E469" s="4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customHeight="1" x14ac:dyDescent="0.25">
      <c r="A470" s="14"/>
      <c r="B470" s="14"/>
      <c r="C470" s="14"/>
      <c r="D470" s="14"/>
      <c r="E470" s="4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customHeight="1" x14ac:dyDescent="0.25">
      <c r="A471" s="14"/>
      <c r="B471" s="14"/>
      <c r="C471" s="14"/>
      <c r="D471" s="14"/>
      <c r="E471" s="4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customHeight="1" x14ac:dyDescent="0.25">
      <c r="A472" s="14"/>
      <c r="B472" s="14"/>
      <c r="C472" s="14"/>
      <c r="D472" s="14"/>
      <c r="E472" s="4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customHeight="1" x14ac:dyDescent="0.25">
      <c r="A473" s="14"/>
      <c r="B473" s="14"/>
      <c r="C473" s="14"/>
      <c r="D473" s="14"/>
      <c r="E473" s="4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customHeight="1" x14ac:dyDescent="0.25">
      <c r="A474" s="14"/>
      <c r="B474" s="14"/>
      <c r="C474" s="14"/>
      <c r="D474" s="14"/>
      <c r="E474" s="4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customHeight="1" x14ac:dyDescent="0.25">
      <c r="A475" s="14"/>
      <c r="B475" s="14"/>
      <c r="C475" s="14"/>
      <c r="D475" s="14"/>
      <c r="E475" s="4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customHeight="1" x14ac:dyDescent="0.25">
      <c r="A476" s="14"/>
      <c r="B476" s="14"/>
      <c r="C476" s="14"/>
      <c r="D476" s="14"/>
      <c r="E476" s="4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customHeight="1" x14ac:dyDescent="0.25">
      <c r="A477" s="14"/>
      <c r="B477" s="14"/>
      <c r="C477" s="14"/>
      <c r="D477" s="14"/>
      <c r="E477" s="4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customHeight="1" x14ac:dyDescent="0.25">
      <c r="A478" s="14"/>
      <c r="B478" s="14"/>
      <c r="C478" s="14"/>
      <c r="D478" s="14"/>
      <c r="E478" s="4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customHeight="1" x14ac:dyDescent="0.25">
      <c r="A479" s="14"/>
      <c r="B479" s="14"/>
      <c r="C479" s="14"/>
      <c r="D479" s="14"/>
      <c r="E479" s="4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customHeight="1" x14ac:dyDescent="0.25">
      <c r="A480" s="14"/>
      <c r="B480" s="14"/>
      <c r="C480" s="14"/>
      <c r="D480" s="14"/>
      <c r="E480" s="4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customHeight="1" x14ac:dyDescent="0.25">
      <c r="A481" s="14"/>
      <c r="B481" s="14"/>
      <c r="C481" s="14"/>
      <c r="D481" s="14"/>
      <c r="E481" s="4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customHeight="1" x14ac:dyDescent="0.25">
      <c r="A482" s="14"/>
      <c r="B482" s="14"/>
      <c r="C482" s="14"/>
      <c r="D482" s="14"/>
      <c r="E482" s="4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customHeight="1" x14ac:dyDescent="0.25">
      <c r="A483" s="14"/>
      <c r="B483" s="14"/>
      <c r="C483" s="14"/>
      <c r="D483" s="14"/>
      <c r="E483" s="4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customHeight="1" x14ac:dyDescent="0.25">
      <c r="A484" s="14"/>
      <c r="B484" s="14"/>
      <c r="C484" s="14"/>
      <c r="D484" s="14"/>
      <c r="E484" s="4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customHeight="1" x14ac:dyDescent="0.25">
      <c r="A485" s="14"/>
      <c r="B485" s="14"/>
      <c r="C485" s="14"/>
      <c r="D485" s="14"/>
      <c r="E485" s="4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customHeight="1" x14ac:dyDescent="0.25">
      <c r="A486" s="14"/>
      <c r="B486" s="14"/>
      <c r="C486" s="14"/>
      <c r="D486" s="14"/>
      <c r="E486" s="4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customHeight="1" x14ac:dyDescent="0.25">
      <c r="A487" s="14"/>
      <c r="B487" s="14"/>
      <c r="C487" s="14"/>
      <c r="D487" s="14"/>
      <c r="E487" s="4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customHeight="1" x14ac:dyDescent="0.25">
      <c r="A488" s="14"/>
      <c r="B488" s="14"/>
      <c r="C488" s="14"/>
      <c r="D488" s="14"/>
      <c r="E488" s="4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customHeight="1" x14ac:dyDescent="0.25">
      <c r="A489" s="14"/>
      <c r="B489" s="14"/>
      <c r="C489" s="14"/>
      <c r="D489" s="14"/>
      <c r="E489" s="4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customHeight="1" x14ac:dyDescent="0.25">
      <c r="A490" s="14"/>
      <c r="B490" s="14"/>
      <c r="C490" s="14"/>
      <c r="D490" s="14"/>
      <c r="E490" s="4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customHeight="1" x14ac:dyDescent="0.25">
      <c r="A491" s="14"/>
      <c r="B491" s="14"/>
      <c r="C491" s="14"/>
      <c r="D491" s="14"/>
      <c r="E491" s="4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customHeight="1" x14ac:dyDescent="0.25">
      <c r="A492" s="14"/>
      <c r="B492" s="14"/>
      <c r="C492" s="14"/>
      <c r="D492" s="14"/>
      <c r="E492" s="4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customHeight="1" x14ac:dyDescent="0.25">
      <c r="A493" s="14"/>
      <c r="B493" s="14"/>
      <c r="C493" s="14"/>
      <c r="D493" s="14"/>
      <c r="E493" s="4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customHeight="1" x14ac:dyDescent="0.25">
      <c r="A494" s="14"/>
      <c r="B494" s="14"/>
      <c r="C494" s="14"/>
      <c r="D494" s="14"/>
      <c r="E494" s="4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customHeight="1" x14ac:dyDescent="0.25">
      <c r="A495" s="14"/>
      <c r="B495" s="14"/>
      <c r="C495" s="14"/>
      <c r="D495" s="14"/>
      <c r="E495" s="4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customHeight="1" x14ac:dyDescent="0.25">
      <c r="A496" s="14"/>
      <c r="B496" s="14"/>
      <c r="C496" s="14"/>
      <c r="D496" s="14"/>
      <c r="E496" s="4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customHeight="1" x14ac:dyDescent="0.25">
      <c r="A497" s="14"/>
      <c r="B497" s="14"/>
      <c r="C497" s="14"/>
      <c r="D497" s="14"/>
      <c r="E497" s="4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customHeight="1" x14ac:dyDescent="0.25">
      <c r="A498" s="14"/>
      <c r="B498" s="14"/>
      <c r="C498" s="14"/>
      <c r="D498" s="14"/>
      <c r="E498" s="4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customHeight="1" x14ac:dyDescent="0.25">
      <c r="A499" s="14"/>
      <c r="B499" s="14"/>
      <c r="C499" s="14"/>
      <c r="D499" s="14"/>
      <c r="E499" s="4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customHeight="1" x14ac:dyDescent="0.25">
      <c r="A500" s="14"/>
      <c r="B500" s="14"/>
      <c r="C500" s="14"/>
      <c r="D500" s="14"/>
      <c r="E500" s="4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customHeight="1" x14ac:dyDescent="0.25">
      <c r="A501" s="14"/>
      <c r="B501" s="14"/>
      <c r="C501" s="14"/>
      <c r="D501" s="14"/>
      <c r="E501" s="4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customHeight="1" x14ac:dyDescent="0.25">
      <c r="A502" s="14"/>
      <c r="B502" s="14"/>
      <c r="C502" s="14"/>
      <c r="D502" s="14"/>
      <c r="E502" s="4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customHeight="1" x14ac:dyDescent="0.25">
      <c r="A503" s="14"/>
      <c r="B503" s="14"/>
      <c r="C503" s="14"/>
      <c r="D503" s="14"/>
      <c r="E503" s="4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customHeight="1" x14ac:dyDescent="0.25">
      <c r="A504" s="14"/>
      <c r="B504" s="14"/>
      <c r="C504" s="14"/>
      <c r="D504" s="14"/>
      <c r="E504" s="4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customHeight="1" x14ac:dyDescent="0.25">
      <c r="A505" s="14"/>
      <c r="B505" s="14"/>
      <c r="C505" s="14"/>
      <c r="D505" s="14"/>
      <c r="E505" s="4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customHeight="1" x14ac:dyDescent="0.25">
      <c r="A506" s="14"/>
      <c r="B506" s="14"/>
      <c r="C506" s="14"/>
      <c r="D506" s="14"/>
      <c r="E506" s="4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customHeight="1" x14ac:dyDescent="0.25">
      <c r="A507" s="14"/>
      <c r="B507" s="14"/>
      <c r="C507" s="14"/>
      <c r="D507" s="14"/>
      <c r="E507" s="4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customHeight="1" x14ac:dyDescent="0.25">
      <c r="A508" s="14"/>
      <c r="B508" s="14"/>
      <c r="C508" s="14"/>
      <c r="D508" s="14"/>
      <c r="E508" s="4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customHeight="1" x14ac:dyDescent="0.25">
      <c r="A509" s="14"/>
      <c r="B509" s="14"/>
      <c r="C509" s="14"/>
      <c r="D509" s="14"/>
      <c r="E509" s="4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customHeight="1" x14ac:dyDescent="0.25">
      <c r="A510" s="14"/>
      <c r="B510" s="14"/>
      <c r="C510" s="14"/>
      <c r="D510" s="14"/>
      <c r="E510" s="4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customHeight="1" x14ac:dyDescent="0.25">
      <c r="A511" s="14"/>
      <c r="B511" s="14"/>
      <c r="C511" s="14"/>
      <c r="D511" s="14"/>
      <c r="E511" s="4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customHeight="1" x14ac:dyDescent="0.25">
      <c r="A512" s="14"/>
      <c r="B512" s="14"/>
      <c r="C512" s="14"/>
      <c r="D512" s="14"/>
      <c r="E512" s="4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customHeight="1" x14ac:dyDescent="0.25">
      <c r="A513" s="14"/>
      <c r="B513" s="14"/>
      <c r="C513" s="14"/>
      <c r="D513" s="14"/>
      <c r="E513" s="4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customHeight="1" x14ac:dyDescent="0.25">
      <c r="A514" s="14"/>
      <c r="B514" s="14"/>
      <c r="C514" s="14"/>
      <c r="D514" s="14"/>
      <c r="E514" s="4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customHeight="1" x14ac:dyDescent="0.25">
      <c r="A515" s="14"/>
      <c r="B515" s="14"/>
      <c r="C515" s="14"/>
      <c r="D515" s="14"/>
      <c r="E515" s="4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customHeight="1" x14ac:dyDescent="0.25">
      <c r="A516" s="14"/>
      <c r="B516" s="14"/>
      <c r="C516" s="14"/>
      <c r="D516" s="14"/>
      <c r="E516" s="4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customHeight="1" x14ac:dyDescent="0.25">
      <c r="A517" s="14"/>
      <c r="B517" s="14"/>
      <c r="C517" s="14"/>
      <c r="D517" s="14"/>
      <c r="E517" s="4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customHeight="1" x14ac:dyDescent="0.25">
      <c r="A518" s="14"/>
      <c r="B518" s="14"/>
      <c r="C518" s="14"/>
      <c r="D518" s="14"/>
      <c r="E518" s="4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customHeight="1" x14ac:dyDescent="0.25">
      <c r="A519" s="14"/>
      <c r="B519" s="14"/>
      <c r="C519" s="14"/>
      <c r="D519" s="14"/>
      <c r="E519" s="4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customHeight="1" x14ac:dyDescent="0.25">
      <c r="A520" s="14"/>
      <c r="B520" s="14"/>
      <c r="C520" s="14"/>
      <c r="D520" s="14"/>
      <c r="E520" s="4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customHeight="1" x14ac:dyDescent="0.25">
      <c r="A521" s="14"/>
      <c r="B521" s="14"/>
      <c r="C521" s="14"/>
      <c r="D521" s="14"/>
      <c r="E521" s="4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customHeight="1" x14ac:dyDescent="0.25">
      <c r="A522" s="14"/>
      <c r="B522" s="14"/>
      <c r="C522" s="14"/>
      <c r="D522" s="14"/>
      <c r="E522" s="4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customHeight="1" x14ac:dyDescent="0.25">
      <c r="A523" s="14"/>
      <c r="B523" s="14"/>
      <c r="C523" s="14"/>
      <c r="D523" s="14"/>
      <c r="E523" s="4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customHeight="1" x14ac:dyDescent="0.25">
      <c r="A524" s="14"/>
      <c r="B524" s="14"/>
      <c r="C524" s="14"/>
      <c r="D524" s="14"/>
      <c r="E524" s="4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customHeight="1" x14ac:dyDescent="0.25">
      <c r="A525" s="14"/>
      <c r="B525" s="14"/>
      <c r="C525" s="14"/>
      <c r="D525" s="14"/>
      <c r="E525" s="4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customHeight="1" x14ac:dyDescent="0.25">
      <c r="A526" s="14"/>
      <c r="B526" s="14"/>
      <c r="C526" s="14"/>
      <c r="D526" s="14"/>
      <c r="E526" s="4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customHeight="1" x14ac:dyDescent="0.25">
      <c r="A527" s="14"/>
      <c r="B527" s="14"/>
      <c r="C527" s="14"/>
      <c r="D527" s="14"/>
      <c r="E527" s="4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customHeight="1" x14ac:dyDescent="0.25">
      <c r="A528" s="14"/>
      <c r="B528" s="14"/>
      <c r="C528" s="14"/>
      <c r="D528" s="14"/>
      <c r="E528" s="4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customHeight="1" x14ac:dyDescent="0.25">
      <c r="A529" s="14"/>
      <c r="B529" s="14"/>
      <c r="C529" s="14"/>
      <c r="D529" s="14"/>
      <c r="E529" s="4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customHeight="1" x14ac:dyDescent="0.25">
      <c r="A530" s="14"/>
      <c r="B530" s="14"/>
      <c r="C530" s="14"/>
      <c r="D530" s="14"/>
      <c r="E530" s="4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customHeight="1" x14ac:dyDescent="0.25">
      <c r="A531" s="14"/>
      <c r="B531" s="14"/>
      <c r="C531" s="14"/>
      <c r="D531" s="14"/>
      <c r="E531" s="4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customHeight="1" x14ac:dyDescent="0.25">
      <c r="A532" s="14"/>
      <c r="B532" s="14"/>
      <c r="C532" s="14"/>
      <c r="D532" s="14"/>
      <c r="E532" s="4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customHeight="1" x14ac:dyDescent="0.25">
      <c r="A533" s="14"/>
      <c r="B533" s="14"/>
      <c r="C533" s="14"/>
      <c r="D533" s="14"/>
      <c r="E533" s="4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customHeight="1" x14ac:dyDescent="0.25">
      <c r="A534" s="14"/>
      <c r="B534" s="14"/>
      <c r="C534" s="14"/>
      <c r="D534" s="14"/>
      <c r="E534" s="4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customHeight="1" x14ac:dyDescent="0.25">
      <c r="A535" s="14"/>
      <c r="B535" s="14"/>
      <c r="C535" s="14"/>
      <c r="D535" s="14"/>
      <c r="E535" s="4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customHeight="1" x14ac:dyDescent="0.25">
      <c r="A536" s="14"/>
      <c r="B536" s="14"/>
      <c r="C536" s="14"/>
      <c r="D536" s="14"/>
      <c r="E536" s="4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customHeight="1" x14ac:dyDescent="0.25">
      <c r="A537" s="14"/>
      <c r="B537" s="14"/>
      <c r="C537" s="14"/>
      <c r="D537" s="14"/>
      <c r="E537" s="4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customHeight="1" x14ac:dyDescent="0.25">
      <c r="A538" s="14"/>
      <c r="B538" s="14"/>
      <c r="C538" s="14"/>
      <c r="D538" s="14"/>
      <c r="E538" s="4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customHeight="1" x14ac:dyDescent="0.25">
      <c r="A539" s="14"/>
      <c r="B539" s="14"/>
      <c r="C539" s="14"/>
      <c r="D539" s="14"/>
      <c r="E539" s="4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customHeight="1" x14ac:dyDescent="0.25">
      <c r="A540" s="14"/>
      <c r="B540" s="14"/>
      <c r="C540" s="14"/>
      <c r="D540" s="14"/>
      <c r="E540" s="4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customHeight="1" x14ac:dyDescent="0.25">
      <c r="A541" s="14"/>
      <c r="B541" s="14"/>
      <c r="C541" s="14"/>
      <c r="D541" s="14"/>
      <c r="E541" s="4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customHeight="1" x14ac:dyDescent="0.25">
      <c r="A542" s="14"/>
      <c r="B542" s="14"/>
      <c r="C542" s="14"/>
      <c r="D542" s="14"/>
      <c r="E542" s="4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customHeight="1" x14ac:dyDescent="0.25">
      <c r="A543" s="14"/>
      <c r="B543" s="14"/>
      <c r="C543" s="14"/>
      <c r="D543" s="14"/>
      <c r="E543" s="4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customHeight="1" x14ac:dyDescent="0.25">
      <c r="A544" s="14"/>
      <c r="B544" s="14"/>
      <c r="C544" s="14"/>
      <c r="D544" s="14"/>
      <c r="E544" s="4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customHeight="1" x14ac:dyDescent="0.25">
      <c r="A545" s="14"/>
      <c r="B545" s="14"/>
      <c r="C545" s="14"/>
      <c r="D545" s="14"/>
      <c r="E545" s="4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customHeight="1" x14ac:dyDescent="0.25">
      <c r="A546" s="14"/>
      <c r="B546" s="14"/>
      <c r="C546" s="14"/>
      <c r="D546" s="14"/>
      <c r="E546" s="4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customHeight="1" x14ac:dyDescent="0.25">
      <c r="A547" s="14"/>
      <c r="B547" s="14"/>
      <c r="C547" s="14"/>
      <c r="D547" s="14"/>
      <c r="E547" s="4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customHeight="1" x14ac:dyDescent="0.25">
      <c r="A548" s="14"/>
      <c r="B548" s="14"/>
      <c r="C548" s="14"/>
      <c r="D548" s="14"/>
      <c r="E548" s="4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customHeight="1" x14ac:dyDescent="0.25">
      <c r="A549" s="14"/>
      <c r="B549" s="14"/>
      <c r="C549" s="14"/>
      <c r="D549" s="14"/>
      <c r="E549" s="4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customHeight="1" x14ac:dyDescent="0.25">
      <c r="A550" s="14"/>
      <c r="B550" s="14"/>
      <c r="C550" s="14"/>
      <c r="D550" s="14"/>
      <c r="E550" s="4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customHeight="1" x14ac:dyDescent="0.25">
      <c r="A551" s="14"/>
      <c r="B551" s="14"/>
      <c r="C551" s="14"/>
      <c r="D551" s="14"/>
      <c r="E551" s="4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customHeight="1" x14ac:dyDescent="0.25">
      <c r="A552" s="14"/>
      <c r="B552" s="14"/>
      <c r="C552" s="14"/>
      <c r="D552" s="14"/>
      <c r="E552" s="4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customHeight="1" x14ac:dyDescent="0.25">
      <c r="A553" s="14"/>
      <c r="B553" s="14"/>
      <c r="C553" s="14"/>
      <c r="D553" s="14"/>
      <c r="E553" s="4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customHeight="1" x14ac:dyDescent="0.25">
      <c r="A554" s="14"/>
      <c r="B554" s="14"/>
      <c r="C554" s="14"/>
      <c r="D554" s="14"/>
      <c r="E554" s="4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customHeight="1" x14ac:dyDescent="0.25">
      <c r="A555" s="14"/>
      <c r="B555" s="14"/>
      <c r="C555" s="14"/>
      <c r="D555" s="14"/>
      <c r="E555" s="4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customHeight="1" x14ac:dyDescent="0.25">
      <c r="A556" s="14"/>
      <c r="B556" s="14"/>
      <c r="C556" s="14"/>
      <c r="D556" s="14"/>
      <c r="E556" s="4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customHeight="1" x14ac:dyDescent="0.25">
      <c r="A557" s="14"/>
      <c r="B557" s="14"/>
      <c r="C557" s="14"/>
      <c r="D557" s="14"/>
      <c r="E557" s="4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customHeight="1" x14ac:dyDescent="0.25">
      <c r="A558" s="14"/>
      <c r="B558" s="14"/>
      <c r="C558" s="14"/>
      <c r="D558" s="14"/>
      <c r="E558" s="4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customHeight="1" x14ac:dyDescent="0.25">
      <c r="A559" s="14"/>
      <c r="B559" s="14"/>
      <c r="C559" s="14"/>
      <c r="D559" s="14"/>
      <c r="E559" s="4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customHeight="1" x14ac:dyDescent="0.25">
      <c r="A560" s="14"/>
      <c r="B560" s="14"/>
      <c r="C560" s="14"/>
      <c r="D560" s="14"/>
      <c r="E560" s="4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customHeight="1" x14ac:dyDescent="0.25">
      <c r="A561" s="14"/>
      <c r="B561" s="14"/>
      <c r="C561" s="14"/>
      <c r="D561" s="14"/>
      <c r="E561" s="4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customHeight="1" x14ac:dyDescent="0.25">
      <c r="A562" s="14"/>
      <c r="B562" s="14"/>
      <c r="C562" s="14"/>
      <c r="D562" s="14"/>
      <c r="E562" s="4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customHeight="1" x14ac:dyDescent="0.25">
      <c r="A563" s="14"/>
      <c r="B563" s="14"/>
      <c r="C563" s="14"/>
      <c r="D563" s="14"/>
      <c r="E563" s="4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customHeight="1" x14ac:dyDescent="0.25">
      <c r="A564" s="14"/>
      <c r="B564" s="14"/>
      <c r="C564" s="14"/>
      <c r="D564" s="14"/>
      <c r="E564" s="4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customHeight="1" x14ac:dyDescent="0.25">
      <c r="A565" s="14"/>
      <c r="B565" s="14"/>
      <c r="C565" s="14"/>
      <c r="D565" s="14"/>
      <c r="E565" s="4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customHeight="1" x14ac:dyDescent="0.25">
      <c r="A566" s="14"/>
      <c r="B566" s="14"/>
      <c r="C566" s="14"/>
      <c r="D566" s="14"/>
      <c r="E566" s="4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customHeight="1" x14ac:dyDescent="0.25">
      <c r="A567" s="14"/>
      <c r="B567" s="14"/>
      <c r="C567" s="14"/>
      <c r="D567" s="14"/>
      <c r="E567" s="4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customHeight="1" x14ac:dyDescent="0.25">
      <c r="A568" s="14"/>
      <c r="B568" s="14"/>
      <c r="C568" s="14"/>
      <c r="D568" s="14"/>
      <c r="E568" s="4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customHeight="1" x14ac:dyDescent="0.25">
      <c r="A569" s="14"/>
      <c r="B569" s="14"/>
      <c r="C569" s="14"/>
      <c r="D569" s="14"/>
      <c r="E569" s="4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customHeight="1" x14ac:dyDescent="0.25">
      <c r="A570" s="14"/>
      <c r="B570" s="14"/>
      <c r="C570" s="14"/>
      <c r="D570" s="14"/>
      <c r="E570" s="4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customHeight="1" x14ac:dyDescent="0.25">
      <c r="A571" s="14"/>
      <c r="B571" s="14"/>
      <c r="C571" s="14"/>
      <c r="D571" s="14"/>
      <c r="E571" s="4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customHeight="1" x14ac:dyDescent="0.25">
      <c r="A572" s="14"/>
      <c r="B572" s="14"/>
      <c r="C572" s="14"/>
      <c r="D572" s="14"/>
      <c r="E572" s="4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customHeight="1" x14ac:dyDescent="0.25">
      <c r="A573" s="14"/>
      <c r="B573" s="14"/>
      <c r="C573" s="14"/>
      <c r="D573" s="14"/>
      <c r="E573" s="4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customHeight="1" x14ac:dyDescent="0.25">
      <c r="A574" s="14"/>
      <c r="B574" s="14"/>
      <c r="C574" s="14"/>
      <c r="D574" s="14"/>
      <c r="E574" s="4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customHeight="1" x14ac:dyDescent="0.25">
      <c r="A575" s="14"/>
      <c r="B575" s="14"/>
      <c r="C575" s="14"/>
      <c r="D575" s="14"/>
      <c r="E575" s="4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customHeight="1" x14ac:dyDescent="0.25">
      <c r="A576" s="14"/>
      <c r="B576" s="14"/>
      <c r="C576" s="14"/>
      <c r="D576" s="14"/>
      <c r="E576" s="4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customHeight="1" x14ac:dyDescent="0.25">
      <c r="A577" s="14"/>
      <c r="B577" s="14"/>
      <c r="C577" s="14"/>
      <c r="D577" s="14"/>
      <c r="E577" s="4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customHeight="1" x14ac:dyDescent="0.25">
      <c r="A578" s="14"/>
      <c r="B578" s="14"/>
      <c r="C578" s="14"/>
      <c r="D578" s="14"/>
      <c r="E578" s="4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customHeight="1" x14ac:dyDescent="0.25">
      <c r="A579" s="14"/>
      <c r="B579" s="14"/>
      <c r="C579" s="14"/>
      <c r="D579" s="14"/>
      <c r="E579" s="4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customHeight="1" x14ac:dyDescent="0.25">
      <c r="A580" s="14"/>
      <c r="B580" s="14"/>
      <c r="C580" s="14"/>
      <c r="D580" s="14"/>
      <c r="E580" s="4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customHeight="1" x14ac:dyDescent="0.25">
      <c r="A581" s="14"/>
      <c r="B581" s="14"/>
      <c r="C581" s="14"/>
      <c r="D581" s="14"/>
      <c r="E581" s="4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customHeight="1" x14ac:dyDescent="0.25">
      <c r="A582" s="14"/>
      <c r="B582" s="14"/>
      <c r="C582" s="14"/>
      <c r="D582" s="14"/>
      <c r="E582" s="4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customHeight="1" x14ac:dyDescent="0.25">
      <c r="A583" s="14"/>
      <c r="B583" s="14"/>
      <c r="C583" s="14"/>
      <c r="D583" s="14"/>
      <c r="E583" s="4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customHeight="1" x14ac:dyDescent="0.25">
      <c r="A584" s="14"/>
      <c r="B584" s="14"/>
      <c r="C584" s="14"/>
      <c r="D584" s="14"/>
      <c r="E584" s="4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customHeight="1" x14ac:dyDescent="0.25">
      <c r="A585" s="14"/>
      <c r="B585" s="14"/>
      <c r="C585" s="14"/>
      <c r="D585" s="14"/>
      <c r="E585" s="4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customHeight="1" x14ac:dyDescent="0.25">
      <c r="A586" s="14"/>
      <c r="B586" s="14"/>
      <c r="C586" s="14"/>
      <c r="D586" s="14"/>
      <c r="E586" s="4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customHeight="1" x14ac:dyDescent="0.25">
      <c r="A587" s="14"/>
      <c r="B587" s="14"/>
      <c r="C587" s="14"/>
      <c r="D587" s="14"/>
      <c r="E587" s="4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customHeight="1" x14ac:dyDescent="0.25">
      <c r="A588" s="14"/>
      <c r="B588" s="14"/>
      <c r="C588" s="14"/>
      <c r="D588" s="14"/>
      <c r="E588" s="4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customHeight="1" x14ac:dyDescent="0.25">
      <c r="A589" s="14"/>
      <c r="B589" s="14"/>
      <c r="C589" s="14"/>
      <c r="D589" s="14"/>
      <c r="E589" s="4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customHeight="1" x14ac:dyDescent="0.25">
      <c r="A590" s="14"/>
      <c r="B590" s="14"/>
      <c r="C590" s="14"/>
      <c r="D590" s="14"/>
      <c r="E590" s="4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customHeight="1" x14ac:dyDescent="0.25">
      <c r="A591" s="14"/>
      <c r="B591" s="14"/>
      <c r="C591" s="14"/>
      <c r="D591" s="14"/>
      <c r="E591" s="4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customHeight="1" x14ac:dyDescent="0.25">
      <c r="A592" s="14"/>
      <c r="B592" s="14"/>
      <c r="C592" s="14"/>
      <c r="D592" s="14"/>
      <c r="E592" s="4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customHeight="1" x14ac:dyDescent="0.25">
      <c r="A593" s="14"/>
      <c r="B593" s="14"/>
      <c r="C593" s="14"/>
      <c r="D593" s="14"/>
      <c r="E593" s="4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customHeight="1" x14ac:dyDescent="0.25">
      <c r="A594" s="14"/>
      <c r="B594" s="14"/>
      <c r="C594" s="14"/>
      <c r="D594" s="14"/>
      <c r="E594" s="4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customHeight="1" x14ac:dyDescent="0.25">
      <c r="A595" s="14"/>
      <c r="B595" s="14"/>
      <c r="C595" s="14"/>
      <c r="D595" s="14"/>
      <c r="E595" s="4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customHeight="1" x14ac:dyDescent="0.25">
      <c r="A596" s="14"/>
      <c r="B596" s="14"/>
      <c r="C596" s="14"/>
      <c r="D596" s="14"/>
      <c r="E596" s="4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customHeight="1" x14ac:dyDescent="0.25">
      <c r="A597" s="14"/>
      <c r="B597" s="14"/>
      <c r="C597" s="14"/>
      <c r="D597" s="14"/>
      <c r="E597" s="4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customHeight="1" x14ac:dyDescent="0.25">
      <c r="A598" s="14"/>
      <c r="B598" s="14"/>
      <c r="C598" s="14"/>
      <c r="D598" s="14"/>
      <c r="E598" s="4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customHeight="1" x14ac:dyDescent="0.25">
      <c r="A599" s="14"/>
      <c r="B599" s="14"/>
      <c r="C599" s="14"/>
      <c r="D599" s="14"/>
      <c r="E599" s="4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customHeight="1" x14ac:dyDescent="0.25">
      <c r="A600" s="14"/>
      <c r="B600" s="14"/>
      <c r="C600" s="14"/>
      <c r="D600" s="14"/>
      <c r="E600" s="4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customHeight="1" x14ac:dyDescent="0.25">
      <c r="A601" s="14"/>
      <c r="B601" s="14"/>
      <c r="C601" s="14"/>
      <c r="D601" s="14"/>
      <c r="E601" s="4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customHeight="1" x14ac:dyDescent="0.25">
      <c r="A602" s="14"/>
      <c r="B602" s="14"/>
      <c r="C602" s="14"/>
      <c r="D602" s="14"/>
      <c r="E602" s="4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customHeight="1" x14ac:dyDescent="0.25">
      <c r="A603" s="14"/>
      <c r="B603" s="14"/>
      <c r="C603" s="14"/>
      <c r="D603" s="14"/>
      <c r="E603" s="4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customHeight="1" x14ac:dyDescent="0.25">
      <c r="A604" s="14"/>
      <c r="B604" s="14"/>
      <c r="C604" s="14"/>
      <c r="D604" s="14"/>
      <c r="E604" s="4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customHeight="1" x14ac:dyDescent="0.25">
      <c r="A605" s="14"/>
      <c r="B605" s="14"/>
      <c r="C605" s="14"/>
      <c r="D605" s="14"/>
      <c r="E605" s="4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customHeight="1" x14ac:dyDescent="0.25">
      <c r="A606" s="14"/>
      <c r="B606" s="14"/>
      <c r="C606" s="14"/>
      <c r="D606" s="14"/>
      <c r="E606" s="4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customHeight="1" x14ac:dyDescent="0.25">
      <c r="A607" s="14"/>
      <c r="B607" s="14"/>
      <c r="C607" s="14"/>
      <c r="D607" s="14"/>
      <c r="E607" s="4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customHeight="1" x14ac:dyDescent="0.25">
      <c r="A608" s="14"/>
      <c r="B608" s="14"/>
      <c r="C608" s="14"/>
      <c r="D608" s="14"/>
      <c r="E608" s="4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customHeight="1" x14ac:dyDescent="0.25">
      <c r="A609" s="14"/>
      <c r="B609" s="14"/>
      <c r="C609" s="14"/>
      <c r="D609" s="14"/>
      <c r="E609" s="4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customHeight="1" x14ac:dyDescent="0.25">
      <c r="A610" s="14"/>
      <c r="B610" s="14"/>
      <c r="C610" s="14"/>
      <c r="D610" s="14"/>
      <c r="E610" s="4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customHeight="1" x14ac:dyDescent="0.25">
      <c r="A611" s="14"/>
      <c r="B611" s="14"/>
      <c r="C611" s="14"/>
      <c r="D611" s="14"/>
      <c r="E611" s="4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customHeight="1" x14ac:dyDescent="0.25">
      <c r="A612" s="14"/>
      <c r="B612" s="14"/>
      <c r="C612" s="14"/>
      <c r="D612" s="14"/>
      <c r="E612" s="4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customHeight="1" x14ac:dyDescent="0.25">
      <c r="A613" s="14"/>
      <c r="B613" s="14"/>
      <c r="C613" s="14"/>
      <c r="D613" s="14"/>
      <c r="E613" s="4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customHeight="1" x14ac:dyDescent="0.25">
      <c r="A614" s="14"/>
      <c r="B614" s="14"/>
      <c r="C614" s="14"/>
      <c r="D614" s="14"/>
      <c r="E614" s="4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customHeight="1" x14ac:dyDescent="0.25">
      <c r="A615" s="14"/>
      <c r="B615" s="14"/>
      <c r="C615" s="14"/>
      <c r="D615" s="14"/>
      <c r="E615" s="4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customHeight="1" x14ac:dyDescent="0.25">
      <c r="A616" s="14"/>
      <c r="B616" s="14"/>
      <c r="C616" s="14"/>
      <c r="D616" s="14"/>
      <c r="E616" s="4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customHeight="1" x14ac:dyDescent="0.25">
      <c r="A617" s="14"/>
      <c r="B617" s="14"/>
      <c r="C617" s="14"/>
      <c r="D617" s="14"/>
      <c r="E617" s="4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customHeight="1" x14ac:dyDescent="0.25">
      <c r="A618" s="14"/>
      <c r="B618" s="14"/>
      <c r="C618" s="14"/>
      <c r="D618" s="14"/>
      <c r="E618" s="4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customHeight="1" x14ac:dyDescent="0.25">
      <c r="A619" s="14"/>
      <c r="B619" s="14"/>
      <c r="C619" s="14"/>
      <c r="D619" s="14"/>
      <c r="E619" s="4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customHeight="1" x14ac:dyDescent="0.25">
      <c r="A620" s="14"/>
      <c r="B620" s="14"/>
      <c r="C620" s="14"/>
      <c r="D620" s="14"/>
      <c r="E620" s="4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customHeight="1" x14ac:dyDescent="0.25">
      <c r="A621" s="14"/>
      <c r="B621" s="14"/>
      <c r="C621" s="14"/>
      <c r="D621" s="14"/>
      <c r="E621" s="4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customHeight="1" x14ac:dyDescent="0.25">
      <c r="A622" s="14"/>
      <c r="B622" s="14"/>
      <c r="C622" s="14"/>
      <c r="D622" s="14"/>
      <c r="E622" s="4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customHeight="1" x14ac:dyDescent="0.25">
      <c r="A623" s="14"/>
      <c r="B623" s="14"/>
      <c r="C623" s="14"/>
      <c r="D623" s="14"/>
      <c r="E623" s="4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customHeight="1" x14ac:dyDescent="0.25">
      <c r="A624" s="14"/>
      <c r="B624" s="14"/>
      <c r="C624" s="14"/>
      <c r="D624" s="14"/>
      <c r="E624" s="4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customHeight="1" x14ac:dyDescent="0.25">
      <c r="A625" s="14"/>
      <c r="B625" s="14"/>
      <c r="C625" s="14"/>
      <c r="D625" s="14"/>
      <c r="E625" s="4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customHeight="1" x14ac:dyDescent="0.25">
      <c r="A626" s="14"/>
      <c r="B626" s="14"/>
      <c r="C626" s="14"/>
      <c r="D626" s="14"/>
      <c r="E626" s="4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customHeight="1" x14ac:dyDescent="0.25">
      <c r="A627" s="14"/>
      <c r="B627" s="14"/>
      <c r="C627" s="14"/>
      <c r="D627" s="14"/>
      <c r="E627" s="4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customHeight="1" x14ac:dyDescent="0.25">
      <c r="A628" s="14"/>
      <c r="B628" s="14"/>
      <c r="C628" s="14"/>
      <c r="D628" s="14"/>
      <c r="E628" s="4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customHeight="1" x14ac:dyDescent="0.25">
      <c r="A629" s="14"/>
      <c r="B629" s="14"/>
      <c r="C629" s="14"/>
      <c r="D629" s="14"/>
      <c r="E629" s="4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customHeight="1" x14ac:dyDescent="0.25">
      <c r="A630" s="14"/>
      <c r="B630" s="14"/>
      <c r="C630" s="14"/>
      <c r="D630" s="14"/>
      <c r="E630" s="4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customHeight="1" x14ac:dyDescent="0.25">
      <c r="A631" s="14"/>
      <c r="B631" s="14"/>
      <c r="C631" s="14"/>
      <c r="D631" s="14"/>
      <c r="E631" s="4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customHeight="1" x14ac:dyDescent="0.25">
      <c r="A632" s="14"/>
      <c r="B632" s="14"/>
      <c r="C632" s="14"/>
      <c r="D632" s="14"/>
      <c r="E632" s="4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customHeight="1" x14ac:dyDescent="0.25">
      <c r="A633" s="14"/>
      <c r="B633" s="14"/>
      <c r="C633" s="14"/>
      <c r="D633" s="14"/>
      <c r="E633" s="4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customHeight="1" x14ac:dyDescent="0.25">
      <c r="A634" s="14"/>
      <c r="B634" s="14"/>
      <c r="C634" s="14"/>
      <c r="D634" s="14"/>
      <c r="E634" s="4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customHeight="1" x14ac:dyDescent="0.25">
      <c r="A635" s="14"/>
      <c r="B635" s="14"/>
      <c r="C635" s="14"/>
      <c r="D635" s="14"/>
      <c r="E635" s="4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customHeight="1" x14ac:dyDescent="0.25">
      <c r="A636" s="14"/>
      <c r="B636" s="14"/>
      <c r="C636" s="14"/>
      <c r="D636" s="14"/>
      <c r="E636" s="4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customHeight="1" x14ac:dyDescent="0.25">
      <c r="A637" s="14"/>
      <c r="B637" s="14"/>
      <c r="C637" s="14"/>
      <c r="D637" s="14"/>
      <c r="E637" s="4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customHeight="1" x14ac:dyDescent="0.25">
      <c r="A638" s="14"/>
      <c r="B638" s="14"/>
      <c r="C638" s="14"/>
      <c r="D638" s="14"/>
      <c r="E638" s="4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customHeight="1" x14ac:dyDescent="0.25">
      <c r="A639" s="14"/>
      <c r="B639" s="14"/>
      <c r="C639" s="14"/>
      <c r="D639" s="14"/>
      <c r="E639" s="4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customHeight="1" x14ac:dyDescent="0.25">
      <c r="A640" s="14"/>
      <c r="B640" s="14"/>
      <c r="C640" s="14"/>
      <c r="D640" s="14"/>
      <c r="E640" s="4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customHeight="1" x14ac:dyDescent="0.25">
      <c r="A641" s="14"/>
      <c r="B641" s="14"/>
      <c r="C641" s="14"/>
      <c r="D641" s="14"/>
      <c r="E641" s="4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customHeight="1" x14ac:dyDescent="0.25">
      <c r="A642" s="14"/>
      <c r="B642" s="14"/>
      <c r="C642" s="14"/>
      <c r="D642" s="14"/>
      <c r="E642" s="4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customHeight="1" x14ac:dyDescent="0.25">
      <c r="A643" s="14"/>
      <c r="B643" s="14"/>
      <c r="C643" s="14"/>
      <c r="D643" s="14"/>
      <c r="E643" s="4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customHeight="1" x14ac:dyDescent="0.25">
      <c r="A644" s="14"/>
      <c r="B644" s="14"/>
      <c r="C644" s="14"/>
      <c r="D644" s="14"/>
      <c r="E644" s="4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customHeight="1" x14ac:dyDescent="0.25">
      <c r="A645" s="14"/>
      <c r="B645" s="14"/>
      <c r="C645" s="14"/>
      <c r="D645" s="14"/>
      <c r="E645" s="4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customHeight="1" x14ac:dyDescent="0.25">
      <c r="A646" s="14"/>
      <c r="B646" s="14"/>
      <c r="C646" s="14"/>
      <c r="D646" s="14"/>
      <c r="E646" s="4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customHeight="1" x14ac:dyDescent="0.25">
      <c r="A647" s="14"/>
      <c r="B647" s="14"/>
      <c r="C647" s="14"/>
      <c r="D647" s="14"/>
      <c r="E647" s="4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customHeight="1" x14ac:dyDescent="0.25">
      <c r="A648" s="14"/>
      <c r="B648" s="14"/>
      <c r="C648" s="14"/>
      <c r="D648" s="14"/>
      <c r="E648" s="4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customHeight="1" x14ac:dyDescent="0.25">
      <c r="A649" s="14"/>
      <c r="B649" s="14"/>
      <c r="C649" s="14"/>
      <c r="D649" s="14"/>
      <c r="E649" s="4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customHeight="1" x14ac:dyDescent="0.25">
      <c r="A650" s="14"/>
      <c r="B650" s="14"/>
      <c r="C650" s="14"/>
      <c r="D650" s="14"/>
      <c r="E650" s="4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customHeight="1" x14ac:dyDescent="0.25">
      <c r="A651" s="14"/>
      <c r="B651" s="14"/>
      <c r="C651" s="14"/>
      <c r="D651" s="14"/>
      <c r="E651" s="4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customHeight="1" x14ac:dyDescent="0.25">
      <c r="A652" s="14"/>
      <c r="B652" s="14"/>
      <c r="C652" s="14"/>
      <c r="D652" s="14"/>
      <c r="E652" s="4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customHeight="1" x14ac:dyDescent="0.25">
      <c r="A653" s="14"/>
      <c r="B653" s="14"/>
      <c r="C653" s="14"/>
      <c r="D653" s="14"/>
      <c r="E653" s="4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customHeight="1" x14ac:dyDescent="0.25">
      <c r="A654" s="14"/>
      <c r="B654" s="14"/>
      <c r="C654" s="14"/>
      <c r="D654" s="14"/>
      <c r="E654" s="4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customHeight="1" x14ac:dyDescent="0.25">
      <c r="A655" s="14"/>
      <c r="B655" s="14"/>
      <c r="C655" s="14"/>
      <c r="D655" s="14"/>
      <c r="E655" s="4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customHeight="1" x14ac:dyDescent="0.25">
      <c r="A656" s="14"/>
      <c r="B656" s="14"/>
      <c r="C656" s="14"/>
      <c r="D656" s="14"/>
      <c r="E656" s="4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customHeight="1" x14ac:dyDescent="0.25">
      <c r="A657" s="14"/>
      <c r="B657" s="14"/>
      <c r="C657" s="14"/>
      <c r="D657" s="14"/>
      <c r="E657" s="4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customHeight="1" x14ac:dyDescent="0.25">
      <c r="A658" s="14"/>
      <c r="B658" s="14"/>
      <c r="C658" s="14"/>
      <c r="D658" s="14"/>
      <c r="E658" s="4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customHeight="1" x14ac:dyDescent="0.25">
      <c r="A659" s="14"/>
      <c r="B659" s="14"/>
      <c r="C659" s="14"/>
      <c r="D659" s="14"/>
      <c r="E659" s="4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customHeight="1" x14ac:dyDescent="0.25">
      <c r="A660" s="14"/>
      <c r="B660" s="14"/>
      <c r="C660" s="14"/>
      <c r="D660" s="14"/>
      <c r="E660" s="4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customHeight="1" x14ac:dyDescent="0.25">
      <c r="A661" s="14"/>
      <c r="B661" s="14"/>
      <c r="C661" s="14"/>
      <c r="D661" s="14"/>
      <c r="E661" s="4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customHeight="1" x14ac:dyDescent="0.25">
      <c r="A662" s="14"/>
      <c r="B662" s="14"/>
      <c r="C662" s="14"/>
      <c r="D662" s="14"/>
      <c r="E662" s="4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customHeight="1" x14ac:dyDescent="0.25">
      <c r="A663" s="14"/>
      <c r="B663" s="14"/>
      <c r="C663" s="14"/>
      <c r="D663" s="14"/>
      <c r="E663" s="4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customHeight="1" x14ac:dyDescent="0.25">
      <c r="A664" s="14"/>
      <c r="B664" s="14"/>
      <c r="C664" s="14"/>
      <c r="D664" s="14"/>
      <c r="E664" s="4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customHeight="1" x14ac:dyDescent="0.25">
      <c r="A665" s="14"/>
      <c r="B665" s="14"/>
      <c r="C665" s="14"/>
      <c r="D665" s="14"/>
      <c r="E665" s="4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customHeight="1" x14ac:dyDescent="0.25">
      <c r="A666" s="14"/>
      <c r="B666" s="14"/>
      <c r="C666" s="14"/>
      <c r="D666" s="14"/>
      <c r="E666" s="4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customHeight="1" x14ac:dyDescent="0.25">
      <c r="A667" s="14"/>
      <c r="B667" s="14"/>
      <c r="C667" s="14"/>
      <c r="D667" s="14"/>
      <c r="E667" s="4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customHeight="1" x14ac:dyDescent="0.25">
      <c r="A668" s="14"/>
      <c r="B668" s="14"/>
      <c r="C668" s="14"/>
      <c r="D668" s="14"/>
      <c r="E668" s="4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customHeight="1" x14ac:dyDescent="0.25">
      <c r="A669" s="14"/>
      <c r="B669" s="14"/>
      <c r="C669" s="14"/>
      <c r="D669" s="14"/>
      <c r="E669" s="4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customHeight="1" x14ac:dyDescent="0.25">
      <c r="A670" s="14"/>
      <c r="B670" s="14"/>
      <c r="C670" s="14"/>
      <c r="D670" s="14"/>
      <c r="E670" s="4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customHeight="1" x14ac:dyDescent="0.25">
      <c r="A671" s="14"/>
      <c r="B671" s="14"/>
      <c r="C671" s="14"/>
      <c r="D671" s="14"/>
      <c r="E671" s="4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customHeight="1" x14ac:dyDescent="0.25">
      <c r="A672" s="14"/>
      <c r="B672" s="14"/>
      <c r="C672" s="14"/>
      <c r="D672" s="14"/>
      <c r="E672" s="4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customHeight="1" x14ac:dyDescent="0.25">
      <c r="A673" s="14"/>
      <c r="B673" s="14"/>
      <c r="C673" s="14"/>
      <c r="D673" s="14"/>
      <c r="E673" s="4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customHeight="1" x14ac:dyDescent="0.25">
      <c r="A674" s="14"/>
      <c r="B674" s="14"/>
      <c r="C674" s="14"/>
      <c r="D674" s="14"/>
      <c r="E674" s="4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customHeight="1" x14ac:dyDescent="0.25">
      <c r="A675" s="14"/>
      <c r="B675" s="14"/>
      <c r="C675" s="14"/>
      <c r="D675" s="14"/>
      <c r="E675" s="4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customHeight="1" x14ac:dyDescent="0.25">
      <c r="A676" s="14"/>
      <c r="B676" s="14"/>
      <c r="C676" s="14"/>
      <c r="D676" s="14"/>
      <c r="E676" s="4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customHeight="1" x14ac:dyDescent="0.25">
      <c r="A677" s="14"/>
      <c r="B677" s="14"/>
      <c r="C677" s="14"/>
      <c r="D677" s="14"/>
      <c r="E677" s="4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customHeight="1" x14ac:dyDescent="0.25">
      <c r="A678" s="14"/>
      <c r="B678" s="14"/>
      <c r="C678" s="14"/>
      <c r="D678" s="14"/>
      <c r="E678" s="4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customHeight="1" x14ac:dyDescent="0.25">
      <c r="A679" s="14"/>
      <c r="B679" s="14"/>
      <c r="C679" s="14"/>
      <c r="D679" s="14"/>
      <c r="E679" s="4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customHeight="1" x14ac:dyDescent="0.25">
      <c r="A680" s="14"/>
      <c r="B680" s="14"/>
      <c r="C680" s="14"/>
      <c r="D680" s="14"/>
      <c r="E680" s="4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customHeight="1" x14ac:dyDescent="0.25">
      <c r="A681" s="14"/>
      <c r="B681" s="14"/>
      <c r="C681" s="14"/>
      <c r="D681" s="14"/>
      <c r="E681" s="4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customHeight="1" x14ac:dyDescent="0.25">
      <c r="A682" s="14"/>
      <c r="B682" s="14"/>
      <c r="C682" s="14"/>
      <c r="D682" s="14"/>
      <c r="E682" s="4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customHeight="1" x14ac:dyDescent="0.25">
      <c r="A683" s="14"/>
      <c r="B683" s="14"/>
      <c r="C683" s="14"/>
      <c r="D683" s="14"/>
      <c r="E683" s="4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customHeight="1" x14ac:dyDescent="0.25">
      <c r="A684" s="14"/>
      <c r="B684" s="14"/>
      <c r="C684" s="14"/>
      <c r="D684" s="14"/>
      <c r="E684" s="4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customHeight="1" x14ac:dyDescent="0.25">
      <c r="A685" s="14"/>
      <c r="B685" s="14"/>
      <c r="C685" s="14"/>
      <c r="D685" s="14"/>
      <c r="E685" s="4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customHeight="1" x14ac:dyDescent="0.25">
      <c r="A686" s="14"/>
      <c r="B686" s="14"/>
      <c r="C686" s="14"/>
      <c r="D686" s="14"/>
      <c r="E686" s="4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customHeight="1" x14ac:dyDescent="0.25">
      <c r="A687" s="14"/>
      <c r="B687" s="14"/>
      <c r="C687" s="14"/>
      <c r="D687" s="14"/>
      <c r="E687" s="4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customHeight="1" x14ac:dyDescent="0.25">
      <c r="A688" s="14"/>
      <c r="B688" s="14"/>
      <c r="C688" s="14"/>
      <c r="D688" s="14"/>
      <c r="E688" s="4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customHeight="1" x14ac:dyDescent="0.25">
      <c r="A689" s="14"/>
      <c r="B689" s="14"/>
      <c r="C689" s="14"/>
      <c r="D689" s="14"/>
      <c r="E689" s="4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customHeight="1" x14ac:dyDescent="0.25">
      <c r="A690" s="14"/>
      <c r="B690" s="14"/>
      <c r="C690" s="14"/>
      <c r="D690" s="14"/>
      <c r="E690" s="4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customHeight="1" x14ac:dyDescent="0.25">
      <c r="A691" s="14"/>
      <c r="B691" s="14"/>
      <c r="C691" s="14"/>
      <c r="D691" s="14"/>
      <c r="E691" s="4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customHeight="1" x14ac:dyDescent="0.25">
      <c r="A692" s="14"/>
      <c r="B692" s="14"/>
      <c r="C692" s="14"/>
      <c r="D692" s="14"/>
      <c r="E692" s="4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customHeight="1" x14ac:dyDescent="0.25">
      <c r="A693" s="14"/>
      <c r="B693" s="14"/>
      <c r="C693" s="14"/>
      <c r="D693" s="14"/>
      <c r="E693" s="4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customHeight="1" x14ac:dyDescent="0.25">
      <c r="A694" s="14"/>
      <c r="B694" s="14"/>
      <c r="C694" s="14"/>
      <c r="D694" s="14"/>
      <c r="E694" s="4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customHeight="1" x14ac:dyDescent="0.25">
      <c r="A695" s="14"/>
      <c r="B695" s="14"/>
      <c r="C695" s="14"/>
      <c r="D695" s="14"/>
      <c r="E695" s="4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customHeight="1" x14ac:dyDescent="0.25">
      <c r="A696" s="14"/>
      <c r="B696" s="14"/>
      <c r="C696" s="14"/>
      <c r="D696" s="14"/>
      <c r="E696" s="4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customHeight="1" x14ac:dyDescent="0.25">
      <c r="A697" s="14"/>
      <c r="B697" s="14"/>
      <c r="C697" s="14"/>
      <c r="D697" s="14"/>
      <c r="E697" s="4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customHeight="1" x14ac:dyDescent="0.25">
      <c r="A698" s="14"/>
      <c r="B698" s="14"/>
      <c r="C698" s="14"/>
      <c r="D698" s="14"/>
      <c r="E698" s="4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customHeight="1" x14ac:dyDescent="0.25">
      <c r="A699" s="14"/>
      <c r="B699" s="14"/>
      <c r="C699" s="14"/>
      <c r="D699" s="14"/>
      <c r="E699" s="4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customHeight="1" x14ac:dyDescent="0.25">
      <c r="A700" s="14"/>
      <c r="B700" s="14"/>
      <c r="C700" s="14"/>
      <c r="D700" s="14"/>
      <c r="E700" s="4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customHeight="1" x14ac:dyDescent="0.25">
      <c r="A701" s="14"/>
      <c r="B701" s="14"/>
      <c r="C701" s="14"/>
      <c r="D701" s="14"/>
      <c r="E701" s="4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customHeight="1" x14ac:dyDescent="0.25">
      <c r="A702" s="14"/>
      <c r="B702" s="14"/>
      <c r="C702" s="14"/>
      <c r="D702" s="14"/>
      <c r="E702" s="4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customHeight="1" x14ac:dyDescent="0.25">
      <c r="A703" s="14"/>
      <c r="B703" s="14"/>
      <c r="C703" s="14"/>
      <c r="D703" s="14"/>
      <c r="E703" s="4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customHeight="1" x14ac:dyDescent="0.25">
      <c r="A704" s="14"/>
      <c r="B704" s="14"/>
      <c r="C704" s="14"/>
      <c r="D704" s="14"/>
      <c r="E704" s="4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customHeight="1" x14ac:dyDescent="0.25">
      <c r="A705" s="14"/>
      <c r="B705" s="14"/>
      <c r="C705" s="14"/>
      <c r="D705" s="14"/>
      <c r="E705" s="4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customHeight="1" x14ac:dyDescent="0.25">
      <c r="A706" s="14"/>
      <c r="B706" s="14"/>
      <c r="C706" s="14"/>
      <c r="D706" s="14"/>
      <c r="E706" s="4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customHeight="1" x14ac:dyDescent="0.25">
      <c r="A707" s="14"/>
      <c r="B707" s="14"/>
      <c r="C707" s="14"/>
      <c r="D707" s="14"/>
      <c r="E707" s="4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customHeight="1" x14ac:dyDescent="0.25">
      <c r="A708" s="14"/>
      <c r="B708" s="14"/>
      <c r="C708" s="14"/>
      <c r="D708" s="14"/>
      <c r="E708" s="4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customHeight="1" x14ac:dyDescent="0.25">
      <c r="A709" s="14"/>
      <c r="B709" s="14"/>
      <c r="C709" s="14"/>
      <c r="D709" s="14"/>
      <c r="E709" s="4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customHeight="1" x14ac:dyDescent="0.25">
      <c r="A710" s="14"/>
      <c r="B710" s="14"/>
      <c r="C710" s="14"/>
      <c r="D710" s="14"/>
      <c r="E710" s="4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customHeight="1" x14ac:dyDescent="0.25">
      <c r="A711" s="14"/>
      <c r="B711" s="14"/>
      <c r="C711" s="14"/>
      <c r="D711" s="14"/>
      <c r="E711" s="4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customHeight="1" x14ac:dyDescent="0.25">
      <c r="A712" s="14"/>
      <c r="B712" s="14"/>
      <c r="C712" s="14"/>
      <c r="D712" s="14"/>
      <c r="E712" s="4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customHeight="1" x14ac:dyDescent="0.25">
      <c r="A713" s="14"/>
      <c r="B713" s="14"/>
      <c r="C713" s="14"/>
      <c r="D713" s="14"/>
      <c r="E713" s="4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customHeight="1" x14ac:dyDescent="0.25">
      <c r="A714" s="14"/>
      <c r="B714" s="14"/>
      <c r="C714" s="14"/>
      <c r="D714" s="14"/>
      <c r="E714" s="4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customHeight="1" x14ac:dyDescent="0.25">
      <c r="A715" s="14"/>
      <c r="B715" s="14"/>
      <c r="C715" s="14"/>
      <c r="D715" s="14"/>
      <c r="E715" s="4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customHeight="1" x14ac:dyDescent="0.25">
      <c r="A716" s="14"/>
      <c r="B716" s="14"/>
      <c r="C716" s="14"/>
      <c r="D716" s="14"/>
      <c r="E716" s="4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customHeight="1" x14ac:dyDescent="0.25">
      <c r="A717" s="14"/>
      <c r="B717" s="14"/>
      <c r="C717" s="14"/>
      <c r="D717" s="14"/>
      <c r="E717" s="4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customHeight="1" x14ac:dyDescent="0.25">
      <c r="A718" s="14"/>
      <c r="B718" s="14"/>
      <c r="C718" s="14"/>
      <c r="D718" s="14"/>
      <c r="E718" s="4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customHeight="1" x14ac:dyDescent="0.25">
      <c r="A719" s="14"/>
      <c r="B719" s="14"/>
      <c r="C719" s="14"/>
      <c r="D719" s="14"/>
      <c r="E719" s="4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customHeight="1" x14ac:dyDescent="0.25">
      <c r="A720" s="14"/>
      <c r="B720" s="14"/>
      <c r="C720" s="14"/>
      <c r="D720" s="14"/>
      <c r="E720" s="4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customHeight="1" x14ac:dyDescent="0.25">
      <c r="A721" s="14"/>
      <c r="B721" s="14"/>
      <c r="C721" s="14"/>
      <c r="D721" s="14"/>
      <c r="E721" s="4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customHeight="1" x14ac:dyDescent="0.25">
      <c r="A722" s="14"/>
      <c r="B722" s="14"/>
      <c r="C722" s="14"/>
      <c r="D722" s="14"/>
      <c r="E722" s="4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customHeight="1" x14ac:dyDescent="0.25">
      <c r="A723" s="14"/>
      <c r="B723" s="14"/>
      <c r="C723" s="14"/>
      <c r="D723" s="14"/>
      <c r="E723" s="4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customHeight="1" x14ac:dyDescent="0.25">
      <c r="A724" s="14"/>
      <c r="B724" s="14"/>
      <c r="C724" s="14"/>
      <c r="D724" s="14"/>
      <c r="E724" s="4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customHeight="1" x14ac:dyDescent="0.25">
      <c r="A725" s="14"/>
      <c r="B725" s="14"/>
      <c r="C725" s="14"/>
      <c r="D725" s="14"/>
      <c r="E725" s="4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customHeight="1" x14ac:dyDescent="0.25">
      <c r="A726" s="14"/>
      <c r="B726" s="14"/>
      <c r="C726" s="14"/>
      <c r="D726" s="14"/>
      <c r="E726" s="4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customHeight="1" x14ac:dyDescent="0.25">
      <c r="A727" s="14"/>
      <c r="B727" s="14"/>
      <c r="C727" s="14"/>
      <c r="D727" s="14"/>
      <c r="E727" s="4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customHeight="1" x14ac:dyDescent="0.25">
      <c r="A728" s="14"/>
      <c r="B728" s="14"/>
      <c r="C728" s="14"/>
      <c r="D728" s="14"/>
      <c r="E728" s="4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customHeight="1" x14ac:dyDescent="0.25">
      <c r="A729" s="14"/>
      <c r="B729" s="14"/>
      <c r="C729" s="14"/>
      <c r="D729" s="14"/>
      <c r="E729" s="4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customHeight="1" x14ac:dyDescent="0.25">
      <c r="A730" s="14"/>
      <c r="B730" s="14"/>
      <c r="C730" s="14"/>
      <c r="D730" s="14"/>
      <c r="E730" s="4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customHeight="1" x14ac:dyDescent="0.25">
      <c r="A731" s="14"/>
      <c r="B731" s="14"/>
      <c r="C731" s="14"/>
      <c r="D731" s="14"/>
      <c r="E731" s="4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customHeight="1" x14ac:dyDescent="0.25">
      <c r="A732" s="14"/>
      <c r="B732" s="14"/>
      <c r="C732" s="14"/>
      <c r="D732" s="14"/>
      <c r="E732" s="4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customHeight="1" x14ac:dyDescent="0.25">
      <c r="A733" s="14"/>
      <c r="B733" s="14"/>
      <c r="C733" s="14"/>
      <c r="D733" s="14"/>
      <c r="E733" s="4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customHeight="1" x14ac:dyDescent="0.25">
      <c r="A734" s="14"/>
      <c r="B734" s="14"/>
      <c r="C734" s="14"/>
      <c r="D734" s="14"/>
      <c r="E734" s="4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customHeight="1" x14ac:dyDescent="0.25">
      <c r="A735" s="14"/>
      <c r="B735" s="14"/>
      <c r="C735" s="14"/>
      <c r="D735" s="14"/>
      <c r="E735" s="4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customHeight="1" x14ac:dyDescent="0.25">
      <c r="A736" s="14"/>
      <c r="B736" s="14"/>
      <c r="C736" s="14"/>
      <c r="D736" s="14"/>
      <c r="E736" s="4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customHeight="1" x14ac:dyDescent="0.25">
      <c r="A737" s="14"/>
      <c r="B737" s="14"/>
      <c r="C737" s="14"/>
      <c r="D737" s="14"/>
      <c r="E737" s="4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customHeight="1" x14ac:dyDescent="0.25">
      <c r="A738" s="14"/>
      <c r="B738" s="14"/>
      <c r="C738" s="14"/>
      <c r="D738" s="14"/>
      <c r="E738" s="4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customHeight="1" x14ac:dyDescent="0.25">
      <c r="A739" s="14"/>
      <c r="B739" s="14"/>
      <c r="C739" s="14"/>
      <c r="D739" s="14"/>
      <c r="E739" s="4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customHeight="1" x14ac:dyDescent="0.25">
      <c r="A740" s="14"/>
      <c r="B740" s="14"/>
      <c r="C740" s="14"/>
      <c r="D740" s="14"/>
      <c r="E740" s="4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customHeight="1" x14ac:dyDescent="0.25">
      <c r="A741" s="14"/>
      <c r="B741" s="14"/>
      <c r="C741" s="14"/>
      <c r="D741" s="14"/>
      <c r="E741" s="4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customHeight="1" x14ac:dyDescent="0.25">
      <c r="A742" s="14"/>
      <c r="B742" s="14"/>
      <c r="C742" s="14"/>
      <c r="D742" s="14"/>
      <c r="E742" s="4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customHeight="1" x14ac:dyDescent="0.25">
      <c r="A743" s="14"/>
      <c r="B743" s="14"/>
      <c r="C743" s="14"/>
      <c r="D743" s="14"/>
      <c r="E743" s="4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customHeight="1" x14ac:dyDescent="0.25">
      <c r="A744" s="14"/>
      <c r="B744" s="14"/>
      <c r="C744" s="14"/>
      <c r="D744" s="14"/>
      <c r="E744" s="4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customHeight="1" x14ac:dyDescent="0.25">
      <c r="A745" s="14"/>
      <c r="B745" s="14"/>
      <c r="C745" s="14"/>
      <c r="D745" s="14"/>
      <c r="E745" s="4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customHeight="1" x14ac:dyDescent="0.25">
      <c r="A746" s="14"/>
      <c r="B746" s="14"/>
      <c r="C746" s="14"/>
      <c r="D746" s="14"/>
      <c r="E746" s="4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customHeight="1" x14ac:dyDescent="0.25">
      <c r="A747" s="14"/>
      <c r="B747" s="14"/>
      <c r="C747" s="14"/>
      <c r="D747" s="14"/>
      <c r="E747" s="4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customHeight="1" x14ac:dyDescent="0.25">
      <c r="A748" s="14"/>
      <c r="B748" s="14"/>
      <c r="C748" s="14"/>
      <c r="D748" s="14"/>
      <c r="E748" s="4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customHeight="1" x14ac:dyDescent="0.25">
      <c r="A749" s="14"/>
      <c r="B749" s="14"/>
      <c r="C749" s="14"/>
      <c r="D749" s="14"/>
      <c r="E749" s="4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customHeight="1" x14ac:dyDescent="0.25">
      <c r="A750" s="14"/>
      <c r="B750" s="14"/>
      <c r="C750" s="14"/>
      <c r="D750" s="14"/>
      <c r="E750" s="4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customHeight="1" x14ac:dyDescent="0.25">
      <c r="A751" s="14"/>
      <c r="B751" s="14"/>
      <c r="C751" s="14"/>
      <c r="D751" s="14"/>
      <c r="E751" s="4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customHeight="1" x14ac:dyDescent="0.25">
      <c r="A752" s="14"/>
      <c r="B752" s="14"/>
      <c r="C752" s="14"/>
      <c r="D752" s="14"/>
      <c r="E752" s="4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customHeight="1" x14ac:dyDescent="0.25">
      <c r="A753" s="14"/>
      <c r="B753" s="14"/>
      <c r="C753" s="14"/>
      <c r="D753" s="14"/>
      <c r="E753" s="4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customHeight="1" x14ac:dyDescent="0.25">
      <c r="A754" s="14"/>
      <c r="B754" s="14"/>
      <c r="C754" s="14"/>
      <c r="D754" s="14"/>
      <c r="E754" s="4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customHeight="1" x14ac:dyDescent="0.25">
      <c r="A755" s="14"/>
      <c r="B755" s="14"/>
      <c r="C755" s="14"/>
      <c r="D755" s="14"/>
      <c r="E755" s="4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customHeight="1" x14ac:dyDescent="0.25">
      <c r="A756" s="14"/>
      <c r="B756" s="14"/>
      <c r="C756" s="14"/>
      <c r="D756" s="14"/>
      <c r="E756" s="4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customHeight="1" x14ac:dyDescent="0.25">
      <c r="A757" s="14"/>
      <c r="B757" s="14"/>
      <c r="C757" s="14"/>
      <c r="D757" s="14"/>
      <c r="E757" s="4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customHeight="1" x14ac:dyDescent="0.25">
      <c r="A758" s="14"/>
      <c r="B758" s="14"/>
      <c r="C758" s="14"/>
      <c r="D758" s="14"/>
      <c r="E758" s="4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customHeight="1" x14ac:dyDescent="0.25">
      <c r="A759" s="14"/>
      <c r="B759" s="14"/>
      <c r="C759" s="14"/>
      <c r="D759" s="14"/>
      <c r="E759" s="4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customHeight="1" x14ac:dyDescent="0.25">
      <c r="A760" s="14"/>
      <c r="B760" s="14"/>
      <c r="C760" s="14"/>
      <c r="D760" s="14"/>
      <c r="E760" s="4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customHeight="1" x14ac:dyDescent="0.25">
      <c r="A761" s="14"/>
      <c r="B761" s="14"/>
      <c r="C761" s="14"/>
      <c r="D761" s="14"/>
      <c r="E761" s="4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customHeight="1" x14ac:dyDescent="0.25">
      <c r="A762" s="14"/>
      <c r="B762" s="14"/>
      <c r="C762" s="14"/>
      <c r="D762" s="14"/>
      <c r="E762" s="4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customHeight="1" x14ac:dyDescent="0.25">
      <c r="A763" s="14"/>
      <c r="B763" s="14"/>
      <c r="C763" s="14"/>
      <c r="D763" s="14"/>
      <c r="E763" s="4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customHeight="1" x14ac:dyDescent="0.25">
      <c r="A764" s="14"/>
      <c r="B764" s="14"/>
      <c r="C764" s="14"/>
      <c r="D764" s="14"/>
      <c r="E764" s="4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customHeight="1" x14ac:dyDescent="0.25">
      <c r="A765" s="14"/>
      <c r="B765" s="14"/>
      <c r="C765" s="14"/>
      <c r="D765" s="14"/>
      <c r="E765" s="4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customHeight="1" x14ac:dyDescent="0.25">
      <c r="A766" s="14"/>
      <c r="B766" s="14"/>
      <c r="C766" s="14"/>
      <c r="D766" s="14"/>
      <c r="E766" s="4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customHeight="1" x14ac:dyDescent="0.25">
      <c r="A767" s="14"/>
      <c r="B767" s="14"/>
      <c r="C767" s="14"/>
      <c r="D767" s="14"/>
      <c r="E767" s="4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customHeight="1" x14ac:dyDescent="0.25">
      <c r="A768" s="14"/>
      <c r="B768" s="14"/>
      <c r="C768" s="14"/>
      <c r="D768" s="14"/>
      <c r="E768" s="4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customHeight="1" x14ac:dyDescent="0.25">
      <c r="A769" s="14"/>
      <c r="B769" s="14"/>
      <c r="C769" s="14"/>
      <c r="D769" s="14"/>
      <c r="E769" s="4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customHeight="1" x14ac:dyDescent="0.25">
      <c r="A770" s="14"/>
      <c r="B770" s="14"/>
      <c r="C770" s="14"/>
      <c r="D770" s="14"/>
      <c r="E770" s="4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customHeight="1" x14ac:dyDescent="0.25">
      <c r="A771" s="14"/>
      <c r="B771" s="14"/>
      <c r="C771" s="14"/>
      <c r="D771" s="14"/>
      <c r="E771" s="4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customHeight="1" x14ac:dyDescent="0.25">
      <c r="A772" s="14"/>
      <c r="B772" s="14"/>
      <c r="C772" s="14"/>
      <c r="D772" s="14"/>
      <c r="E772" s="4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customHeight="1" x14ac:dyDescent="0.25">
      <c r="A773" s="14"/>
      <c r="B773" s="14"/>
      <c r="C773" s="14"/>
      <c r="D773" s="14"/>
      <c r="E773" s="4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customHeight="1" x14ac:dyDescent="0.25">
      <c r="A774" s="14"/>
      <c r="B774" s="14"/>
      <c r="C774" s="14"/>
      <c r="D774" s="14"/>
      <c r="E774" s="4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customHeight="1" x14ac:dyDescent="0.25">
      <c r="A775" s="14"/>
      <c r="B775" s="14"/>
      <c r="C775" s="14"/>
      <c r="D775" s="14"/>
      <c r="E775" s="4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customHeight="1" x14ac:dyDescent="0.25">
      <c r="A776" s="14"/>
      <c r="B776" s="14"/>
      <c r="C776" s="14"/>
      <c r="D776" s="14"/>
      <c r="E776" s="4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customHeight="1" x14ac:dyDescent="0.25">
      <c r="A777" s="14"/>
      <c r="B777" s="14"/>
      <c r="C777" s="14"/>
      <c r="D777" s="14"/>
      <c r="E777" s="4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customHeight="1" x14ac:dyDescent="0.25">
      <c r="A778" s="14"/>
      <c r="B778" s="14"/>
      <c r="C778" s="14"/>
      <c r="D778" s="14"/>
      <c r="E778" s="4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customHeight="1" x14ac:dyDescent="0.25">
      <c r="A779" s="14"/>
      <c r="B779" s="14"/>
      <c r="C779" s="14"/>
      <c r="D779" s="14"/>
      <c r="E779" s="4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customHeight="1" x14ac:dyDescent="0.25">
      <c r="A780" s="14"/>
      <c r="B780" s="14"/>
      <c r="C780" s="14"/>
      <c r="D780" s="14"/>
      <c r="E780" s="4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customHeight="1" x14ac:dyDescent="0.25">
      <c r="A781" s="14"/>
      <c r="B781" s="14"/>
      <c r="C781" s="14"/>
      <c r="D781" s="14"/>
      <c r="E781" s="4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customHeight="1" x14ac:dyDescent="0.25">
      <c r="A782" s="14"/>
      <c r="B782" s="14"/>
      <c r="C782" s="14"/>
      <c r="D782" s="14"/>
      <c r="E782" s="4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customHeight="1" x14ac:dyDescent="0.25">
      <c r="A783" s="14"/>
      <c r="B783" s="14"/>
      <c r="C783" s="14"/>
      <c r="D783" s="14"/>
      <c r="E783" s="4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customHeight="1" x14ac:dyDescent="0.25">
      <c r="A784" s="14"/>
      <c r="B784" s="14"/>
      <c r="C784" s="14"/>
      <c r="D784" s="14"/>
      <c r="E784" s="4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customHeight="1" x14ac:dyDescent="0.25">
      <c r="A785" s="14"/>
      <c r="B785" s="14"/>
      <c r="C785" s="14"/>
      <c r="D785" s="14"/>
      <c r="E785" s="4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customHeight="1" x14ac:dyDescent="0.25">
      <c r="A786" s="14"/>
      <c r="B786" s="14"/>
      <c r="C786" s="14"/>
      <c r="D786" s="14"/>
      <c r="E786" s="4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customHeight="1" x14ac:dyDescent="0.25">
      <c r="A787" s="14"/>
      <c r="B787" s="14"/>
      <c r="C787" s="14"/>
      <c r="D787" s="14"/>
      <c r="E787" s="4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customHeight="1" x14ac:dyDescent="0.25">
      <c r="A788" s="14"/>
      <c r="B788" s="14"/>
      <c r="C788" s="14"/>
      <c r="D788" s="14"/>
      <c r="E788" s="4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customHeight="1" x14ac:dyDescent="0.25">
      <c r="A789" s="14"/>
      <c r="B789" s="14"/>
      <c r="C789" s="14"/>
      <c r="D789" s="14"/>
      <c r="E789" s="4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2.75" customHeight="1" x14ac:dyDescent="0.25">
      <c r="A790" s="14"/>
      <c r="B790" s="14"/>
      <c r="C790" s="14"/>
      <c r="D790" s="14"/>
      <c r="E790" s="4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2.75" customHeight="1" x14ac:dyDescent="0.25">
      <c r="A791" s="14"/>
      <c r="B791" s="14"/>
      <c r="C791" s="14"/>
      <c r="D791" s="14"/>
      <c r="E791" s="4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2.75" customHeight="1" x14ac:dyDescent="0.25">
      <c r="A792" s="14"/>
      <c r="B792" s="14"/>
      <c r="C792" s="14"/>
      <c r="D792" s="14"/>
      <c r="E792" s="4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2.75" customHeight="1" x14ac:dyDescent="0.25">
      <c r="A793" s="14"/>
      <c r="B793" s="14"/>
      <c r="C793" s="14"/>
      <c r="D793" s="14"/>
      <c r="E793" s="4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2.75" customHeight="1" x14ac:dyDescent="0.25">
      <c r="A794" s="14"/>
      <c r="B794" s="14"/>
      <c r="C794" s="14"/>
      <c r="D794" s="14"/>
      <c r="E794" s="4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2.75" customHeight="1" x14ac:dyDescent="0.25">
      <c r="A795" s="14"/>
      <c r="B795" s="14"/>
      <c r="C795" s="14"/>
      <c r="D795" s="14"/>
      <c r="E795" s="4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2.75" customHeight="1" x14ac:dyDescent="0.25">
      <c r="A796" s="14"/>
      <c r="B796" s="14"/>
      <c r="C796" s="14"/>
      <c r="D796" s="14"/>
      <c r="E796" s="4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2.75" customHeight="1" x14ac:dyDescent="0.25">
      <c r="A797" s="14"/>
      <c r="B797" s="14"/>
      <c r="C797" s="14"/>
      <c r="D797" s="14"/>
      <c r="E797" s="4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2.75" customHeight="1" x14ac:dyDescent="0.25">
      <c r="A798" s="14"/>
      <c r="B798" s="14"/>
      <c r="C798" s="14"/>
      <c r="D798" s="14"/>
      <c r="E798" s="4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2.75" customHeight="1" x14ac:dyDescent="0.25">
      <c r="A799" s="14"/>
      <c r="B799" s="14"/>
      <c r="C799" s="14"/>
      <c r="D799" s="14"/>
      <c r="E799" s="4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2.75" customHeight="1" x14ac:dyDescent="0.25">
      <c r="A800" s="14"/>
      <c r="B800" s="14"/>
      <c r="C800" s="14"/>
      <c r="D800" s="14"/>
      <c r="E800" s="4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2.75" customHeight="1" x14ac:dyDescent="0.25">
      <c r="A801" s="14"/>
      <c r="B801" s="14"/>
      <c r="C801" s="14"/>
      <c r="D801" s="14"/>
      <c r="E801" s="4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2.75" customHeight="1" x14ac:dyDescent="0.25">
      <c r="A802" s="14"/>
      <c r="B802" s="14"/>
      <c r="C802" s="14"/>
      <c r="D802" s="14"/>
      <c r="E802" s="4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2.75" customHeight="1" x14ac:dyDescent="0.25">
      <c r="A803" s="14"/>
      <c r="B803" s="14"/>
      <c r="C803" s="14"/>
      <c r="D803" s="14"/>
      <c r="E803" s="4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2.75" customHeight="1" x14ac:dyDescent="0.25">
      <c r="A804" s="14"/>
      <c r="B804" s="14"/>
      <c r="C804" s="14"/>
      <c r="D804" s="14"/>
      <c r="E804" s="4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2.75" customHeight="1" x14ac:dyDescent="0.25">
      <c r="A805" s="14"/>
      <c r="B805" s="14"/>
      <c r="C805" s="14"/>
      <c r="D805" s="14"/>
      <c r="E805" s="4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2.75" customHeight="1" x14ac:dyDescent="0.25">
      <c r="A806" s="14"/>
      <c r="B806" s="14"/>
      <c r="C806" s="14"/>
      <c r="D806" s="14"/>
      <c r="E806" s="4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2.75" customHeight="1" x14ac:dyDescent="0.25">
      <c r="A807" s="14"/>
      <c r="B807" s="14"/>
      <c r="C807" s="14"/>
      <c r="D807" s="14"/>
      <c r="E807" s="4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2.75" customHeight="1" x14ac:dyDescent="0.25">
      <c r="A808" s="14"/>
      <c r="B808" s="14"/>
      <c r="C808" s="14"/>
      <c r="D808" s="14"/>
      <c r="E808" s="4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2.75" customHeight="1" x14ac:dyDescent="0.25">
      <c r="A809" s="14"/>
      <c r="B809" s="14"/>
      <c r="C809" s="14"/>
      <c r="D809" s="14"/>
      <c r="E809" s="4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2.75" customHeight="1" x14ac:dyDescent="0.25">
      <c r="A810" s="14"/>
      <c r="B810" s="14"/>
      <c r="C810" s="14"/>
      <c r="D810" s="14"/>
      <c r="E810" s="4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2.75" customHeight="1" x14ac:dyDescent="0.25">
      <c r="A811" s="14"/>
      <c r="B811" s="14"/>
      <c r="C811" s="14"/>
      <c r="D811" s="14"/>
      <c r="E811" s="4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2.75" customHeight="1" x14ac:dyDescent="0.25">
      <c r="A812" s="14"/>
      <c r="B812" s="14"/>
      <c r="C812" s="14"/>
      <c r="D812" s="14"/>
      <c r="E812" s="4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2.75" customHeight="1" x14ac:dyDescent="0.25">
      <c r="A813" s="14"/>
      <c r="B813" s="14"/>
      <c r="C813" s="14"/>
      <c r="D813" s="14"/>
      <c r="E813" s="4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2.75" customHeight="1" x14ac:dyDescent="0.25">
      <c r="A814" s="14"/>
      <c r="B814" s="14"/>
      <c r="C814" s="14"/>
      <c r="D814" s="14"/>
      <c r="E814" s="4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2.75" customHeight="1" x14ac:dyDescent="0.25">
      <c r="A815" s="14"/>
      <c r="B815" s="14"/>
      <c r="C815" s="14"/>
      <c r="D815" s="14"/>
      <c r="E815" s="4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2.75" customHeight="1" x14ac:dyDescent="0.25">
      <c r="A816" s="14"/>
      <c r="B816" s="14"/>
      <c r="C816" s="14"/>
      <c r="D816" s="14"/>
      <c r="E816" s="4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2.75" customHeight="1" x14ac:dyDescent="0.25">
      <c r="A817" s="14"/>
      <c r="B817" s="14"/>
      <c r="C817" s="14"/>
      <c r="D817" s="14"/>
      <c r="E817" s="4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2.75" customHeight="1" x14ac:dyDescent="0.25">
      <c r="A818" s="14"/>
      <c r="B818" s="14"/>
      <c r="C818" s="14"/>
      <c r="D818" s="14"/>
      <c r="E818" s="4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2.75" customHeight="1" x14ac:dyDescent="0.25">
      <c r="A819" s="14"/>
      <c r="B819" s="14"/>
      <c r="C819" s="14"/>
      <c r="D819" s="14"/>
      <c r="E819" s="4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2.75" customHeight="1" x14ac:dyDescent="0.25">
      <c r="A820" s="14"/>
      <c r="B820" s="14"/>
      <c r="C820" s="14"/>
      <c r="D820" s="14"/>
      <c r="E820" s="4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2.75" customHeight="1" x14ac:dyDescent="0.25">
      <c r="A821" s="14"/>
      <c r="B821" s="14"/>
      <c r="C821" s="14"/>
      <c r="D821" s="14"/>
      <c r="E821" s="4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2.75" customHeight="1" x14ac:dyDescent="0.25">
      <c r="A822" s="14"/>
      <c r="B822" s="14"/>
      <c r="C822" s="14"/>
      <c r="D822" s="14"/>
      <c r="E822" s="4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2.75" customHeight="1" x14ac:dyDescent="0.25">
      <c r="A823" s="14"/>
      <c r="B823" s="14"/>
      <c r="C823" s="14"/>
      <c r="D823" s="14"/>
      <c r="E823" s="4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2.75" customHeight="1" x14ac:dyDescent="0.25">
      <c r="A824" s="14"/>
      <c r="B824" s="14"/>
      <c r="C824" s="14"/>
      <c r="D824" s="14"/>
      <c r="E824" s="4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2.75" customHeight="1" x14ac:dyDescent="0.25">
      <c r="A825" s="14"/>
      <c r="B825" s="14"/>
      <c r="C825" s="14"/>
      <c r="D825" s="14"/>
      <c r="E825" s="4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2.75" customHeight="1" x14ac:dyDescent="0.25">
      <c r="A826" s="14"/>
      <c r="B826" s="14"/>
      <c r="C826" s="14"/>
      <c r="D826" s="14"/>
      <c r="E826" s="4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2.75" customHeight="1" x14ac:dyDescent="0.25">
      <c r="A827" s="14"/>
      <c r="B827" s="14"/>
      <c r="C827" s="14"/>
      <c r="D827" s="14"/>
      <c r="E827" s="4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2.75" customHeight="1" x14ac:dyDescent="0.25">
      <c r="A828" s="14"/>
      <c r="B828" s="14"/>
      <c r="C828" s="14"/>
      <c r="D828" s="14"/>
      <c r="E828" s="4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2.75" customHeight="1" x14ac:dyDescent="0.25">
      <c r="A829" s="14"/>
      <c r="B829" s="14"/>
      <c r="C829" s="14"/>
      <c r="D829" s="14"/>
      <c r="E829" s="4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2.75" customHeight="1" x14ac:dyDescent="0.25">
      <c r="A830" s="14"/>
      <c r="B830" s="14"/>
      <c r="C830" s="14"/>
      <c r="D830" s="14"/>
      <c r="E830" s="4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2.75" customHeight="1" x14ac:dyDescent="0.25">
      <c r="A831" s="14"/>
      <c r="B831" s="14"/>
      <c r="C831" s="14"/>
      <c r="D831" s="14"/>
      <c r="E831" s="4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2.75" customHeight="1" x14ac:dyDescent="0.25">
      <c r="A832" s="14"/>
      <c r="B832" s="14"/>
      <c r="C832" s="14"/>
      <c r="D832" s="14"/>
      <c r="E832" s="4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2.75" customHeight="1" x14ac:dyDescent="0.25">
      <c r="A833" s="14"/>
      <c r="B833" s="14"/>
      <c r="C833" s="14"/>
      <c r="D833" s="14"/>
      <c r="E833" s="4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2.75" customHeight="1" x14ac:dyDescent="0.25">
      <c r="A834" s="14"/>
      <c r="B834" s="14"/>
      <c r="C834" s="14"/>
      <c r="D834" s="14"/>
      <c r="E834" s="4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2.75" customHeight="1" x14ac:dyDescent="0.25">
      <c r="A835" s="14"/>
      <c r="B835" s="14"/>
      <c r="C835" s="14"/>
      <c r="D835" s="14"/>
      <c r="E835" s="4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2.75" customHeight="1" x14ac:dyDescent="0.25">
      <c r="A836" s="14"/>
      <c r="B836" s="14"/>
      <c r="C836" s="14"/>
      <c r="D836" s="14"/>
      <c r="E836" s="4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2.75" customHeight="1" x14ac:dyDescent="0.25">
      <c r="A837" s="14"/>
      <c r="B837" s="14"/>
      <c r="C837" s="14"/>
      <c r="D837" s="14"/>
      <c r="E837" s="4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2.75" customHeight="1" x14ac:dyDescent="0.25">
      <c r="A838" s="14"/>
      <c r="B838" s="14"/>
      <c r="C838" s="14"/>
      <c r="D838" s="14"/>
      <c r="E838" s="4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2.75" customHeight="1" x14ac:dyDescent="0.25">
      <c r="A839" s="14"/>
      <c r="B839" s="14"/>
      <c r="C839" s="14"/>
      <c r="D839" s="14"/>
      <c r="E839" s="4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2.75" customHeight="1" x14ac:dyDescent="0.25">
      <c r="A840" s="14"/>
      <c r="B840" s="14"/>
      <c r="C840" s="14"/>
      <c r="D840" s="14"/>
      <c r="E840" s="4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2.75" customHeight="1" x14ac:dyDescent="0.25">
      <c r="A841" s="14"/>
      <c r="B841" s="14"/>
      <c r="C841" s="14"/>
      <c r="D841" s="14"/>
      <c r="E841" s="4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2.75" customHeight="1" x14ac:dyDescent="0.25">
      <c r="A842" s="14"/>
      <c r="B842" s="14"/>
      <c r="C842" s="14"/>
      <c r="D842" s="14"/>
      <c r="E842" s="4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2.75" customHeight="1" x14ac:dyDescent="0.25">
      <c r="A843" s="14"/>
      <c r="B843" s="14"/>
      <c r="C843" s="14"/>
      <c r="D843" s="14"/>
      <c r="E843" s="4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2.75" customHeight="1" x14ac:dyDescent="0.25">
      <c r="A844" s="14"/>
      <c r="B844" s="14"/>
      <c r="C844" s="14"/>
      <c r="D844" s="14"/>
      <c r="E844" s="4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2.75" customHeight="1" x14ac:dyDescent="0.25">
      <c r="A845" s="14"/>
      <c r="B845" s="14"/>
      <c r="C845" s="14"/>
      <c r="D845" s="14"/>
      <c r="E845" s="4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2.75" customHeight="1" x14ac:dyDescent="0.25">
      <c r="A846" s="14"/>
      <c r="B846" s="14"/>
      <c r="C846" s="14"/>
      <c r="D846" s="14"/>
      <c r="E846" s="4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2.75" customHeight="1" x14ac:dyDescent="0.25">
      <c r="A847" s="14"/>
      <c r="B847" s="14"/>
      <c r="C847" s="14"/>
      <c r="D847" s="14"/>
      <c r="E847" s="4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2.75" customHeight="1" x14ac:dyDescent="0.25">
      <c r="A848" s="14"/>
      <c r="B848" s="14"/>
      <c r="C848" s="14"/>
      <c r="D848" s="14"/>
      <c r="E848" s="4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2.75" customHeight="1" x14ac:dyDescent="0.25">
      <c r="A849" s="14"/>
      <c r="B849" s="14"/>
      <c r="C849" s="14"/>
      <c r="D849" s="14"/>
      <c r="E849" s="4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2.75" customHeight="1" x14ac:dyDescent="0.25">
      <c r="A850" s="14"/>
      <c r="B850" s="14"/>
      <c r="C850" s="14"/>
      <c r="D850" s="14"/>
      <c r="E850" s="4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2.75" customHeight="1" x14ac:dyDescent="0.25">
      <c r="A851" s="14"/>
      <c r="B851" s="14"/>
      <c r="C851" s="14"/>
      <c r="D851" s="14"/>
      <c r="E851" s="4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2.75" customHeight="1" x14ac:dyDescent="0.25">
      <c r="A852" s="14"/>
      <c r="B852" s="14"/>
      <c r="C852" s="14"/>
      <c r="D852" s="14"/>
      <c r="E852" s="4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2.75" customHeight="1" x14ac:dyDescent="0.25">
      <c r="A853" s="14"/>
      <c r="B853" s="14"/>
      <c r="C853" s="14"/>
      <c r="D853" s="14"/>
      <c r="E853" s="4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2.75" customHeight="1" x14ac:dyDescent="0.25">
      <c r="A854" s="14"/>
      <c r="B854" s="14"/>
      <c r="C854" s="14"/>
      <c r="D854" s="14"/>
      <c r="E854" s="4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2.75" customHeight="1" x14ac:dyDescent="0.25">
      <c r="A855" s="14"/>
      <c r="B855" s="14"/>
      <c r="C855" s="14"/>
      <c r="D855" s="14"/>
      <c r="E855" s="4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2.75" customHeight="1" x14ac:dyDescent="0.25">
      <c r="A856" s="14"/>
      <c r="B856" s="14"/>
      <c r="C856" s="14"/>
      <c r="D856" s="14"/>
      <c r="E856" s="4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2.75" customHeight="1" x14ac:dyDescent="0.25">
      <c r="A857" s="14"/>
      <c r="B857" s="14"/>
      <c r="C857" s="14"/>
      <c r="D857" s="14"/>
      <c r="E857" s="4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2.75" customHeight="1" x14ac:dyDescent="0.25">
      <c r="A858" s="14"/>
      <c r="B858" s="14"/>
      <c r="C858" s="14"/>
      <c r="D858" s="14"/>
      <c r="E858" s="4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2.75" customHeight="1" x14ac:dyDescent="0.25">
      <c r="A859" s="14"/>
      <c r="B859" s="14"/>
      <c r="C859" s="14"/>
      <c r="D859" s="14"/>
      <c r="E859" s="4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2.75" customHeight="1" x14ac:dyDescent="0.25">
      <c r="A860" s="14"/>
      <c r="B860" s="14"/>
      <c r="C860" s="14"/>
      <c r="D860" s="14"/>
      <c r="E860" s="4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2.75" customHeight="1" x14ac:dyDescent="0.25">
      <c r="A861" s="14"/>
      <c r="B861" s="14"/>
      <c r="C861" s="14"/>
      <c r="D861" s="14"/>
      <c r="E861" s="4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2.75" customHeight="1" x14ac:dyDescent="0.25">
      <c r="A862" s="14"/>
      <c r="B862" s="14"/>
      <c r="C862" s="14"/>
      <c r="D862" s="14"/>
      <c r="E862" s="4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2.75" customHeight="1" x14ac:dyDescent="0.25">
      <c r="A863" s="14"/>
      <c r="B863" s="14"/>
      <c r="C863" s="14"/>
      <c r="D863" s="14"/>
      <c r="E863" s="4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2.75" customHeight="1" x14ac:dyDescent="0.25">
      <c r="A864" s="14"/>
      <c r="B864" s="14"/>
      <c r="C864" s="14"/>
      <c r="D864" s="14"/>
      <c r="E864" s="4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2.75" customHeight="1" x14ac:dyDescent="0.25">
      <c r="A865" s="14"/>
      <c r="B865" s="14"/>
      <c r="C865" s="14"/>
      <c r="D865" s="14"/>
      <c r="E865" s="4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2.75" customHeight="1" x14ac:dyDescent="0.25">
      <c r="A866" s="14"/>
      <c r="B866" s="14"/>
      <c r="C866" s="14"/>
      <c r="D866" s="14"/>
      <c r="E866" s="4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2.75" customHeight="1" x14ac:dyDescent="0.25">
      <c r="A867" s="14"/>
      <c r="B867" s="14"/>
      <c r="C867" s="14"/>
      <c r="D867" s="14"/>
      <c r="E867" s="4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2.75" customHeight="1" x14ac:dyDescent="0.25">
      <c r="A868" s="14"/>
      <c r="B868" s="14"/>
      <c r="C868" s="14"/>
      <c r="D868" s="14"/>
      <c r="E868" s="4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2.75" customHeight="1" x14ac:dyDescent="0.25">
      <c r="A869" s="14"/>
      <c r="B869" s="14"/>
      <c r="C869" s="14"/>
      <c r="D869" s="14"/>
      <c r="E869" s="4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2.75" customHeight="1" x14ac:dyDescent="0.25">
      <c r="A870" s="14"/>
      <c r="B870" s="14"/>
      <c r="C870" s="14"/>
      <c r="D870" s="14"/>
      <c r="E870" s="4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2.75" customHeight="1" x14ac:dyDescent="0.25">
      <c r="A871" s="14"/>
      <c r="B871" s="14"/>
      <c r="C871" s="14"/>
      <c r="D871" s="14"/>
      <c r="E871" s="4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2.75" customHeight="1" x14ac:dyDescent="0.25">
      <c r="A872" s="14"/>
      <c r="B872" s="14"/>
      <c r="C872" s="14"/>
      <c r="D872" s="14"/>
      <c r="E872" s="4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2.75" customHeight="1" x14ac:dyDescent="0.25">
      <c r="A873" s="14"/>
      <c r="B873" s="14"/>
      <c r="C873" s="14"/>
      <c r="D873" s="14"/>
      <c r="E873" s="4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2.75" customHeight="1" x14ac:dyDescent="0.25">
      <c r="A874" s="14"/>
      <c r="B874" s="14"/>
      <c r="C874" s="14"/>
      <c r="D874" s="14"/>
      <c r="E874" s="4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2.75" customHeight="1" x14ac:dyDescent="0.25">
      <c r="A875" s="14"/>
      <c r="B875" s="14"/>
      <c r="C875" s="14"/>
      <c r="D875" s="14"/>
      <c r="E875" s="4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2.75" customHeight="1" x14ac:dyDescent="0.25">
      <c r="A876" s="14"/>
      <c r="B876" s="14"/>
      <c r="C876" s="14"/>
      <c r="D876" s="14"/>
      <c r="E876" s="4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2.75" customHeight="1" x14ac:dyDescent="0.25">
      <c r="A877" s="14"/>
      <c r="B877" s="14"/>
      <c r="C877" s="14"/>
      <c r="D877" s="14"/>
      <c r="E877" s="4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2.75" customHeight="1" x14ac:dyDescent="0.25">
      <c r="A878" s="14"/>
      <c r="B878" s="14"/>
      <c r="C878" s="14"/>
      <c r="D878" s="14"/>
      <c r="E878" s="4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2.75" customHeight="1" x14ac:dyDescent="0.25">
      <c r="A879" s="14"/>
      <c r="B879" s="14"/>
      <c r="C879" s="14"/>
      <c r="D879" s="14"/>
      <c r="E879" s="4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2.75" customHeight="1" x14ac:dyDescent="0.25">
      <c r="A880" s="14"/>
      <c r="B880" s="14"/>
      <c r="C880" s="14"/>
      <c r="D880" s="14"/>
      <c r="E880" s="4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2.75" customHeight="1" x14ac:dyDescent="0.25">
      <c r="A881" s="14"/>
      <c r="B881" s="14"/>
      <c r="C881" s="14"/>
      <c r="D881" s="14"/>
      <c r="E881" s="4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2.75" customHeight="1" x14ac:dyDescent="0.25">
      <c r="A882" s="14"/>
      <c r="B882" s="14"/>
      <c r="C882" s="14"/>
      <c r="D882" s="14"/>
      <c r="E882" s="4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2.75" customHeight="1" x14ac:dyDescent="0.25">
      <c r="A883" s="14"/>
      <c r="B883" s="14"/>
      <c r="C883" s="14"/>
      <c r="D883" s="14"/>
      <c r="E883" s="4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2.75" customHeight="1" x14ac:dyDescent="0.25">
      <c r="A884" s="14"/>
      <c r="B884" s="14"/>
      <c r="C884" s="14"/>
      <c r="D884" s="14"/>
      <c r="E884" s="4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2.75" customHeight="1" x14ac:dyDescent="0.25">
      <c r="A885" s="14"/>
      <c r="B885" s="14"/>
      <c r="C885" s="14"/>
      <c r="D885" s="14"/>
      <c r="E885" s="4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2.75" customHeight="1" x14ac:dyDescent="0.25">
      <c r="A886" s="14"/>
      <c r="B886" s="14"/>
      <c r="C886" s="14"/>
      <c r="D886" s="14"/>
      <c r="E886" s="4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2.75" customHeight="1" x14ac:dyDescent="0.25">
      <c r="A887" s="14"/>
      <c r="B887" s="14"/>
      <c r="C887" s="14"/>
      <c r="D887" s="14"/>
      <c r="E887" s="4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2.75" customHeight="1" x14ac:dyDescent="0.25">
      <c r="A888" s="14"/>
      <c r="B888" s="14"/>
      <c r="C888" s="14"/>
      <c r="D888" s="14"/>
      <c r="E888" s="4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2.75" customHeight="1" x14ac:dyDescent="0.25">
      <c r="A889" s="14"/>
      <c r="B889" s="14"/>
      <c r="C889" s="14"/>
      <c r="D889" s="14"/>
      <c r="E889" s="4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2.75" customHeight="1" x14ac:dyDescent="0.25">
      <c r="A890" s="14"/>
      <c r="B890" s="14"/>
      <c r="C890" s="14"/>
      <c r="D890" s="14"/>
      <c r="E890" s="4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2.75" customHeight="1" x14ac:dyDescent="0.25">
      <c r="A891" s="14"/>
      <c r="B891" s="14"/>
      <c r="C891" s="14"/>
      <c r="D891" s="14"/>
      <c r="E891" s="4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2.75" customHeight="1" x14ac:dyDescent="0.25">
      <c r="A892" s="14"/>
      <c r="B892" s="14"/>
      <c r="C892" s="14"/>
      <c r="D892" s="14"/>
      <c r="E892" s="4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2.75" customHeight="1" x14ac:dyDescent="0.25">
      <c r="A893" s="14"/>
      <c r="B893" s="14"/>
      <c r="C893" s="14"/>
      <c r="D893" s="14"/>
      <c r="E893" s="4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2.75" customHeight="1" x14ac:dyDescent="0.25">
      <c r="A894" s="14"/>
      <c r="B894" s="14"/>
      <c r="C894" s="14"/>
      <c r="D894" s="14"/>
      <c r="E894" s="4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2.75" customHeight="1" x14ac:dyDescent="0.25">
      <c r="A895" s="14"/>
      <c r="B895" s="14"/>
      <c r="C895" s="14"/>
      <c r="D895" s="14"/>
      <c r="E895" s="4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2.75" customHeight="1" x14ac:dyDescent="0.25">
      <c r="A896" s="14"/>
      <c r="B896" s="14"/>
      <c r="C896" s="14"/>
      <c r="D896" s="14"/>
      <c r="E896" s="4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2.75" customHeight="1" x14ac:dyDescent="0.25">
      <c r="A897" s="14"/>
      <c r="B897" s="14"/>
      <c r="C897" s="14"/>
      <c r="D897" s="14"/>
      <c r="E897" s="4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2.75" customHeight="1" x14ac:dyDescent="0.25">
      <c r="A898" s="14"/>
      <c r="B898" s="14"/>
      <c r="C898" s="14"/>
      <c r="D898" s="14"/>
      <c r="E898" s="4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2.75" customHeight="1" x14ac:dyDescent="0.25">
      <c r="A899" s="14"/>
      <c r="B899" s="14"/>
      <c r="C899" s="14"/>
      <c r="D899" s="14"/>
      <c r="E899" s="4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2.75" customHeight="1" x14ac:dyDescent="0.25">
      <c r="A900" s="14"/>
      <c r="B900" s="14"/>
      <c r="C900" s="14"/>
      <c r="D900" s="14"/>
      <c r="E900" s="4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2.75" customHeight="1" x14ac:dyDescent="0.25">
      <c r="A901" s="14"/>
      <c r="B901" s="14"/>
      <c r="C901" s="14"/>
      <c r="D901" s="14"/>
      <c r="E901" s="4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2.75" customHeight="1" x14ac:dyDescent="0.25">
      <c r="A902" s="14"/>
      <c r="B902" s="14"/>
      <c r="C902" s="14"/>
      <c r="D902" s="14"/>
      <c r="E902" s="4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2.75" customHeight="1" x14ac:dyDescent="0.25">
      <c r="A903" s="14"/>
      <c r="B903" s="14"/>
      <c r="C903" s="14"/>
      <c r="D903" s="14"/>
      <c r="E903" s="4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2.75" customHeight="1" x14ac:dyDescent="0.25">
      <c r="A904" s="14"/>
      <c r="B904" s="14"/>
      <c r="C904" s="14"/>
      <c r="D904" s="14"/>
      <c r="E904" s="4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2.75" customHeight="1" x14ac:dyDescent="0.25">
      <c r="A905" s="14"/>
      <c r="B905" s="14"/>
      <c r="C905" s="14"/>
      <c r="D905" s="14"/>
      <c r="E905" s="4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2.75" customHeight="1" x14ac:dyDescent="0.25">
      <c r="A906" s="14"/>
      <c r="B906" s="14"/>
      <c r="C906" s="14"/>
      <c r="D906" s="14"/>
      <c r="E906" s="4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2.75" customHeight="1" x14ac:dyDescent="0.25">
      <c r="A907" s="14"/>
      <c r="B907" s="14"/>
      <c r="C907" s="14"/>
      <c r="D907" s="14"/>
      <c r="E907" s="4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2.75" customHeight="1" x14ac:dyDescent="0.25">
      <c r="A908" s="14"/>
      <c r="B908" s="14"/>
      <c r="C908" s="14"/>
      <c r="D908" s="14"/>
      <c r="E908" s="4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2.75" customHeight="1" x14ac:dyDescent="0.25">
      <c r="A909" s="14"/>
      <c r="B909" s="14"/>
      <c r="C909" s="14"/>
      <c r="D909" s="14"/>
      <c r="E909" s="4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2.75" customHeight="1" x14ac:dyDescent="0.25">
      <c r="A910" s="14"/>
      <c r="B910" s="14"/>
      <c r="C910" s="14"/>
      <c r="D910" s="14"/>
      <c r="E910" s="4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2.75" customHeight="1" x14ac:dyDescent="0.25">
      <c r="A911" s="14"/>
      <c r="B911" s="14"/>
      <c r="C911" s="14"/>
      <c r="D911" s="14"/>
      <c r="E911" s="4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2.75" customHeight="1" x14ac:dyDescent="0.25">
      <c r="A912" s="14"/>
      <c r="B912" s="14"/>
      <c r="C912" s="14"/>
      <c r="D912" s="14"/>
      <c r="E912" s="4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2.75" customHeight="1" x14ac:dyDescent="0.25">
      <c r="A913" s="14"/>
      <c r="B913" s="14"/>
      <c r="C913" s="14"/>
      <c r="D913" s="14"/>
      <c r="E913" s="4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2.75" customHeight="1" x14ac:dyDescent="0.25">
      <c r="A914" s="14"/>
      <c r="B914" s="14"/>
      <c r="C914" s="14"/>
      <c r="D914" s="14"/>
      <c r="E914" s="4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2.75" customHeight="1" x14ac:dyDescent="0.25">
      <c r="A915" s="14"/>
      <c r="B915" s="14"/>
      <c r="C915" s="14"/>
      <c r="D915" s="14"/>
      <c r="E915" s="4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2.75" customHeight="1" x14ac:dyDescent="0.25">
      <c r="A916" s="14"/>
      <c r="B916" s="14"/>
      <c r="C916" s="14"/>
      <c r="D916" s="14"/>
      <c r="E916" s="4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2.75" customHeight="1" x14ac:dyDescent="0.25">
      <c r="A917" s="14"/>
      <c r="B917" s="14"/>
      <c r="C917" s="14"/>
      <c r="D917" s="14"/>
      <c r="E917" s="4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2.75" customHeight="1" x14ac:dyDescent="0.25">
      <c r="A918" s="14"/>
      <c r="B918" s="14"/>
      <c r="C918" s="14"/>
      <c r="D918" s="14"/>
      <c r="E918" s="4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2.75" customHeight="1" x14ac:dyDescent="0.25">
      <c r="A919" s="14"/>
      <c r="B919" s="14"/>
      <c r="C919" s="14"/>
      <c r="D919" s="14"/>
      <c r="E919" s="4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2.75" customHeight="1" x14ac:dyDescent="0.25">
      <c r="A920" s="14"/>
      <c r="B920" s="14"/>
      <c r="C920" s="14"/>
      <c r="D920" s="14"/>
      <c r="E920" s="4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2.75" customHeight="1" x14ac:dyDescent="0.25">
      <c r="A921" s="14"/>
      <c r="B921" s="14"/>
      <c r="C921" s="14"/>
      <c r="D921" s="14"/>
      <c r="E921" s="4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2.75" customHeight="1" x14ac:dyDescent="0.25">
      <c r="A922" s="14"/>
      <c r="B922" s="14"/>
      <c r="C922" s="14"/>
      <c r="D922" s="14"/>
      <c r="E922" s="4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2.75" customHeight="1" x14ac:dyDescent="0.25">
      <c r="A923" s="14"/>
      <c r="B923" s="14"/>
      <c r="C923" s="14"/>
      <c r="D923" s="14"/>
      <c r="E923" s="4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2.75" customHeight="1" x14ac:dyDescent="0.25">
      <c r="A924" s="14"/>
      <c r="B924" s="14"/>
      <c r="C924" s="14"/>
      <c r="D924" s="14"/>
      <c r="E924" s="4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2.75" customHeight="1" x14ac:dyDescent="0.25">
      <c r="A925" s="14"/>
      <c r="B925" s="14"/>
      <c r="C925" s="14"/>
      <c r="D925" s="14"/>
      <c r="E925" s="4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2.75" customHeight="1" x14ac:dyDescent="0.25">
      <c r="A926" s="14"/>
      <c r="B926" s="14"/>
      <c r="C926" s="14"/>
      <c r="D926" s="14"/>
      <c r="E926" s="4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2.75" customHeight="1" x14ac:dyDescent="0.25">
      <c r="A927" s="14"/>
      <c r="B927" s="14"/>
      <c r="C927" s="14"/>
      <c r="D927" s="14"/>
      <c r="E927" s="4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2.75" customHeight="1" x14ac:dyDescent="0.25">
      <c r="A928" s="14"/>
      <c r="B928" s="14"/>
      <c r="C928" s="14"/>
      <c r="D928" s="14"/>
      <c r="E928" s="4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2.75" customHeight="1" x14ac:dyDescent="0.25">
      <c r="A929" s="14"/>
      <c r="B929" s="14"/>
      <c r="C929" s="14"/>
      <c r="D929" s="14"/>
      <c r="E929" s="4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2.75" customHeight="1" x14ac:dyDescent="0.25">
      <c r="A930" s="14"/>
      <c r="B930" s="14"/>
      <c r="C930" s="14"/>
      <c r="D930" s="14"/>
      <c r="E930" s="4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2.75" customHeight="1" x14ac:dyDescent="0.25">
      <c r="A931" s="14"/>
      <c r="B931" s="14"/>
      <c r="C931" s="14"/>
      <c r="D931" s="14"/>
      <c r="E931" s="4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2.75" customHeight="1" x14ac:dyDescent="0.25">
      <c r="A932" s="14"/>
      <c r="B932" s="14"/>
      <c r="C932" s="14"/>
      <c r="D932" s="14"/>
      <c r="E932" s="4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2.75" customHeight="1" x14ac:dyDescent="0.25">
      <c r="A933" s="14"/>
      <c r="B933" s="14"/>
      <c r="C933" s="14"/>
      <c r="D933" s="14"/>
      <c r="E933" s="4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2.75" customHeight="1" x14ac:dyDescent="0.25">
      <c r="A934" s="14"/>
      <c r="B934" s="14"/>
      <c r="C934" s="14"/>
      <c r="D934" s="14"/>
      <c r="E934" s="4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2.75" customHeight="1" x14ac:dyDescent="0.25">
      <c r="A935" s="14"/>
      <c r="B935" s="14"/>
      <c r="C935" s="14"/>
      <c r="D935" s="14"/>
      <c r="E935" s="4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2.75" customHeight="1" x14ac:dyDescent="0.25">
      <c r="A936" s="14"/>
      <c r="B936" s="14"/>
      <c r="C936" s="14"/>
      <c r="D936" s="14"/>
      <c r="E936" s="4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2.75" customHeight="1" x14ac:dyDescent="0.25">
      <c r="A937" s="14"/>
      <c r="B937" s="14"/>
      <c r="C937" s="14"/>
      <c r="D937" s="14"/>
      <c r="E937" s="4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2.75" customHeight="1" x14ac:dyDescent="0.25">
      <c r="A938" s="14"/>
      <c r="B938" s="14"/>
      <c r="C938" s="14"/>
      <c r="D938" s="14"/>
      <c r="E938" s="4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2.75" customHeight="1" x14ac:dyDescent="0.25">
      <c r="A939" s="14"/>
      <c r="B939" s="14"/>
      <c r="C939" s="14"/>
      <c r="D939" s="14"/>
      <c r="E939" s="4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2.75" customHeight="1" x14ac:dyDescent="0.25">
      <c r="A940" s="14"/>
      <c r="B940" s="14"/>
      <c r="C940" s="14"/>
      <c r="D940" s="14"/>
      <c r="E940" s="4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2.75" customHeight="1" x14ac:dyDescent="0.25">
      <c r="A941" s="14"/>
      <c r="B941" s="14"/>
      <c r="C941" s="14"/>
      <c r="D941" s="14"/>
      <c r="E941" s="4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2.75" customHeight="1" x14ac:dyDescent="0.25">
      <c r="A942" s="14"/>
      <c r="B942" s="14"/>
      <c r="C942" s="14"/>
      <c r="D942" s="14"/>
      <c r="E942" s="4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2.75" customHeight="1" x14ac:dyDescent="0.25">
      <c r="A943" s="14"/>
      <c r="B943" s="14"/>
      <c r="C943" s="14"/>
      <c r="D943" s="14"/>
      <c r="E943" s="4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2.75" customHeight="1" x14ac:dyDescent="0.25">
      <c r="A944" s="14"/>
      <c r="B944" s="14"/>
      <c r="C944" s="14"/>
      <c r="D944" s="14"/>
      <c r="E944" s="4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2.75" customHeight="1" x14ac:dyDescent="0.25">
      <c r="A945" s="14"/>
      <c r="B945" s="14"/>
      <c r="C945" s="14"/>
      <c r="D945" s="14"/>
      <c r="E945" s="4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2.75" customHeight="1" x14ac:dyDescent="0.25">
      <c r="A946" s="14"/>
      <c r="B946" s="14"/>
      <c r="C946" s="14"/>
      <c r="D946" s="14"/>
      <c r="E946" s="4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2.75" customHeight="1" x14ac:dyDescent="0.25">
      <c r="A947" s="14"/>
      <c r="B947" s="14"/>
      <c r="C947" s="14"/>
      <c r="D947" s="14"/>
      <c r="E947" s="4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2.75" customHeight="1" x14ac:dyDescent="0.25">
      <c r="A948" s="14"/>
      <c r="B948" s="14"/>
      <c r="C948" s="14"/>
      <c r="D948" s="14"/>
      <c r="E948" s="4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2.75" customHeight="1" x14ac:dyDescent="0.25">
      <c r="A949" s="14"/>
      <c r="B949" s="14"/>
      <c r="C949" s="14"/>
      <c r="D949" s="14"/>
      <c r="E949" s="4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2.75" customHeight="1" x14ac:dyDescent="0.25">
      <c r="A950" s="14"/>
      <c r="B950" s="14"/>
      <c r="C950" s="14"/>
      <c r="D950" s="14"/>
      <c r="E950" s="4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2.75" customHeight="1" x14ac:dyDescent="0.25">
      <c r="A951" s="14"/>
      <c r="B951" s="14"/>
      <c r="C951" s="14"/>
      <c r="D951" s="14"/>
      <c r="E951" s="4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2.75" customHeight="1" x14ac:dyDescent="0.25">
      <c r="A952" s="14"/>
      <c r="B952" s="14"/>
      <c r="C952" s="14"/>
      <c r="D952" s="14"/>
      <c r="E952" s="4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2.75" customHeight="1" x14ac:dyDescent="0.25">
      <c r="A953" s="14"/>
      <c r="B953" s="14"/>
      <c r="C953" s="14"/>
      <c r="D953" s="14"/>
      <c r="E953" s="4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2.75" customHeight="1" x14ac:dyDescent="0.25">
      <c r="A954" s="14"/>
      <c r="B954" s="14"/>
      <c r="C954" s="14"/>
      <c r="D954" s="14"/>
      <c r="E954" s="4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2.75" customHeight="1" x14ac:dyDescent="0.25">
      <c r="A955" s="14"/>
      <c r="B955" s="14"/>
      <c r="C955" s="14"/>
      <c r="D955" s="14"/>
      <c r="E955" s="4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2.75" customHeight="1" x14ac:dyDescent="0.25">
      <c r="A956" s="14"/>
      <c r="B956" s="14"/>
      <c r="C956" s="14"/>
      <c r="D956" s="14"/>
      <c r="E956" s="4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2.75" customHeight="1" x14ac:dyDescent="0.25">
      <c r="A957" s="14"/>
      <c r="B957" s="14"/>
      <c r="C957" s="14"/>
      <c r="D957" s="14"/>
      <c r="E957" s="4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2.75" customHeight="1" x14ac:dyDescent="0.25">
      <c r="A958" s="14"/>
      <c r="B958" s="14"/>
      <c r="C958" s="14"/>
      <c r="D958" s="14"/>
      <c r="E958" s="4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2.75" customHeight="1" x14ac:dyDescent="0.25">
      <c r="A959" s="14"/>
      <c r="B959" s="14"/>
      <c r="C959" s="14"/>
      <c r="D959" s="14"/>
      <c r="E959" s="4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2.75" customHeight="1" x14ac:dyDescent="0.25">
      <c r="A960" s="14"/>
      <c r="B960" s="14"/>
      <c r="C960" s="14"/>
      <c r="D960" s="14"/>
      <c r="E960" s="4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2.75" customHeight="1" x14ac:dyDescent="0.25">
      <c r="A961" s="14"/>
      <c r="B961" s="14"/>
      <c r="C961" s="14"/>
      <c r="D961" s="14"/>
      <c r="E961" s="4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2.75" customHeight="1" x14ac:dyDescent="0.25">
      <c r="A962" s="14"/>
      <c r="B962" s="14"/>
      <c r="C962" s="14"/>
      <c r="D962" s="14"/>
      <c r="E962" s="4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2.75" customHeight="1" x14ac:dyDescent="0.25">
      <c r="A963" s="14"/>
      <c r="B963" s="14"/>
      <c r="C963" s="14"/>
      <c r="D963" s="14"/>
      <c r="E963" s="4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2.75" customHeight="1" x14ac:dyDescent="0.25">
      <c r="A964" s="14"/>
      <c r="B964" s="14"/>
      <c r="C964" s="14"/>
      <c r="D964" s="14"/>
      <c r="E964" s="4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2.75" customHeight="1" x14ac:dyDescent="0.25">
      <c r="A965" s="14"/>
      <c r="B965" s="14"/>
      <c r="C965" s="14"/>
      <c r="D965" s="14"/>
      <c r="E965" s="4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2.75" customHeight="1" x14ac:dyDescent="0.25">
      <c r="A966" s="14"/>
      <c r="B966" s="14"/>
      <c r="C966" s="14"/>
      <c r="D966" s="14"/>
      <c r="E966" s="4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2.75" customHeight="1" x14ac:dyDescent="0.25">
      <c r="A967" s="14"/>
      <c r="B967" s="14"/>
      <c r="C967" s="14"/>
      <c r="D967" s="14"/>
      <c r="E967" s="4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2.75" customHeight="1" x14ac:dyDescent="0.25">
      <c r="A968" s="14"/>
      <c r="B968" s="14"/>
      <c r="C968" s="14"/>
      <c r="D968" s="14"/>
      <c r="E968" s="4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2.75" customHeight="1" x14ac:dyDescent="0.25">
      <c r="A969" s="14"/>
      <c r="B969" s="14"/>
      <c r="C969" s="14"/>
      <c r="D969" s="14"/>
      <c r="E969" s="4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2.75" customHeight="1" x14ac:dyDescent="0.25">
      <c r="A970" s="14"/>
      <c r="B970" s="14"/>
      <c r="C970" s="14"/>
      <c r="D970" s="14"/>
      <c r="E970" s="4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2.75" customHeight="1" x14ac:dyDescent="0.25">
      <c r="A971" s="14"/>
      <c r="B971" s="14"/>
      <c r="C971" s="14"/>
      <c r="D971" s="14"/>
      <c r="E971" s="4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2.75" customHeight="1" x14ac:dyDescent="0.25">
      <c r="A972" s="14"/>
      <c r="B972" s="14"/>
      <c r="C972" s="14"/>
      <c r="D972" s="14"/>
      <c r="E972" s="4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2.75" customHeight="1" x14ac:dyDescent="0.25">
      <c r="A973" s="14"/>
      <c r="B973" s="14"/>
      <c r="C973" s="14"/>
      <c r="D973" s="14"/>
      <c r="E973" s="4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2.75" customHeight="1" x14ac:dyDescent="0.25">
      <c r="A974" s="14"/>
      <c r="B974" s="14"/>
      <c r="C974" s="14"/>
      <c r="D974" s="14"/>
      <c r="E974" s="4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2.75" customHeight="1" x14ac:dyDescent="0.25">
      <c r="A975" s="14"/>
      <c r="B975" s="14"/>
      <c r="C975" s="14"/>
      <c r="D975" s="14"/>
      <c r="E975" s="4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2.75" customHeight="1" x14ac:dyDescent="0.25">
      <c r="A976" s="14"/>
      <c r="B976" s="14"/>
      <c r="C976" s="14"/>
      <c r="D976" s="14"/>
      <c r="E976" s="4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2.75" customHeight="1" x14ac:dyDescent="0.25">
      <c r="A977" s="14"/>
      <c r="B977" s="14"/>
      <c r="C977" s="14"/>
      <c r="D977" s="14"/>
      <c r="E977" s="4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2.75" customHeight="1" x14ac:dyDescent="0.25">
      <c r="A978" s="14"/>
      <c r="B978" s="14"/>
      <c r="C978" s="14"/>
      <c r="D978" s="14"/>
      <c r="E978" s="4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2.75" customHeight="1" x14ac:dyDescent="0.25">
      <c r="A979" s="14"/>
      <c r="B979" s="14"/>
      <c r="C979" s="14"/>
      <c r="D979" s="14"/>
      <c r="E979" s="4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2.75" customHeight="1" x14ac:dyDescent="0.25">
      <c r="A980" s="14"/>
      <c r="B980" s="14"/>
      <c r="C980" s="14"/>
      <c r="D980" s="14"/>
      <c r="E980" s="4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2.75" customHeight="1" x14ac:dyDescent="0.25">
      <c r="A981" s="14"/>
      <c r="B981" s="14"/>
      <c r="C981" s="14"/>
      <c r="D981" s="14"/>
      <c r="E981" s="4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2.75" customHeight="1" x14ac:dyDescent="0.25">
      <c r="A982" s="14"/>
      <c r="B982" s="14"/>
      <c r="C982" s="14"/>
      <c r="D982" s="14"/>
      <c r="E982" s="4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2.75" customHeight="1" x14ac:dyDescent="0.25">
      <c r="A983" s="14"/>
      <c r="B983" s="14"/>
      <c r="C983" s="14"/>
      <c r="D983" s="14"/>
      <c r="E983" s="4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2.75" customHeight="1" x14ac:dyDescent="0.25">
      <c r="A984" s="14"/>
      <c r="B984" s="14"/>
      <c r="C984" s="14"/>
      <c r="D984" s="14"/>
      <c r="E984" s="4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2.75" customHeight="1" x14ac:dyDescent="0.25">
      <c r="A985" s="14"/>
      <c r="B985" s="14"/>
      <c r="C985" s="14"/>
      <c r="D985" s="14"/>
      <c r="E985" s="4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2.75" customHeight="1" x14ac:dyDescent="0.25">
      <c r="A986" s="14"/>
      <c r="B986" s="14"/>
      <c r="C986" s="14"/>
      <c r="D986" s="14"/>
      <c r="E986" s="4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2.75" customHeight="1" x14ac:dyDescent="0.25">
      <c r="A987" s="14"/>
      <c r="B987" s="14"/>
      <c r="C987" s="14"/>
      <c r="D987" s="14"/>
      <c r="E987" s="4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2.75" customHeight="1" x14ac:dyDescent="0.25">
      <c r="A988" s="14"/>
      <c r="B988" s="14"/>
      <c r="C988" s="14"/>
      <c r="D988" s="14"/>
      <c r="E988" s="4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2.75" customHeight="1" x14ac:dyDescent="0.25">
      <c r="A989" s="14"/>
      <c r="B989" s="14"/>
      <c r="C989" s="14"/>
      <c r="D989" s="14"/>
      <c r="E989" s="4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2.75" customHeight="1" x14ac:dyDescent="0.25">
      <c r="A990" s="14"/>
      <c r="B990" s="14"/>
      <c r="C990" s="14"/>
      <c r="D990" s="14"/>
      <c r="E990" s="4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ht="12.75" customHeight="1" x14ac:dyDescent="0.25">
      <c r="A991" s="14"/>
      <c r="B991" s="14"/>
      <c r="C991" s="14"/>
      <c r="D991" s="14"/>
      <c r="E991" s="4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ht="12.75" customHeight="1" x14ac:dyDescent="0.25">
      <c r="A992" s="14"/>
      <c r="B992" s="14"/>
      <c r="C992" s="14"/>
      <c r="D992" s="14"/>
      <c r="E992" s="4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ht="12.75" customHeight="1" x14ac:dyDescent="0.25">
      <c r="A993" s="14"/>
      <c r="B993" s="14"/>
      <c r="C993" s="14"/>
      <c r="D993" s="14"/>
      <c r="E993" s="4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ht="12.75" customHeight="1" x14ac:dyDescent="0.25">
      <c r="A994" s="14"/>
      <c r="B994" s="14"/>
      <c r="C994" s="14"/>
      <c r="D994" s="14"/>
      <c r="E994" s="4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ht="12.75" customHeight="1" x14ac:dyDescent="0.25">
      <c r="A995" s="14"/>
      <c r="B995" s="14"/>
      <c r="C995" s="14"/>
      <c r="D995" s="14"/>
      <c r="E995" s="4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ht="12.75" customHeight="1" x14ac:dyDescent="0.25">
      <c r="A996" s="14"/>
      <c r="B996" s="14"/>
      <c r="C996" s="14"/>
      <c r="D996" s="14"/>
      <c r="E996" s="4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ht="12.75" customHeight="1" x14ac:dyDescent="0.25">
      <c r="A997" s="14"/>
      <c r="B997" s="14"/>
      <c r="C997" s="14"/>
      <c r="D997" s="14"/>
      <c r="E997" s="4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ht="12.75" customHeight="1" x14ac:dyDescent="0.25">
      <c r="A998" s="14"/>
      <c r="B998" s="14"/>
      <c r="C998" s="14"/>
      <c r="D998" s="14"/>
      <c r="E998" s="4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ht="12.75" customHeight="1" x14ac:dyDescent="0.25">
      <c r="A999" s="14"/>
      <c r="B999" s="14"/>
      <c r="C999" s="14"/>
      <c r="D999" s="14"/>
      <c r="E999" s="4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ht="12.75" customHeight="1" x14ac:dyDescent="0.25">
      <c r="A1000" s="14"/>
      <c r="B1000" s="14"/>
      <c r="C1000" s="14"/>
      <c r="D1000" s="14"/>
      <c r="E1000" s="4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31">
    <mergeCell ref="C41:G41"/>
    <mergeCell ref="H41:I41"/>
    <mergeCell ref="C42:G42"/>
    <mergeCell ref="H42:I42"/>
    <mergeCell ref="C43:G43"/>
    <mergeCell ref="H43:I43"/>
    <mergeCell ref="C38:G38"/>
    <mergeCell ref="H38:I38"/>
    <mergeCell ref="C39:G39"/>
    <mergeCell ref="H39:I39"/>
    <mergeCell ref="C40:G40"/>
    <mergeCell ref="H40:I40"/>
    <mergeCell ref="C35:G35"/>
    <mergeCell ref="H35:I35"/>
    <mergeCell ref="C36:G36"/>
    <mergeCell ref="H36:I36"/>
    <mergeCell ref="C37:G37"/>
    <mergeCell ref="H37:I37"/>
    <mergeCell ref="C32:G32"/>
    <mergeCell ref="H32:I32"/>
    <mergeCell ref="C33:G33"/>
    <mergeCell ref="H33:I33"/>
    <mergeCell ref="C34:G34"/>
    <mergeCell ref="H34:I34"/>
    <mergeCell ref="C31:G31"/>
    <mergeCell ref="H31:I31"/>
    <mergeCell ref="B2:B3"/>
    <mergeCell ref="C2:E3"/>
    <mergeCell ref="F2:H2"/>
    <mergeCell ref="F3:H3"/>
    <mergeCell ref="C4:N4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Lista de Indicadores</vt:lpstr>
      <vt:lpstr>IND1</vt:lpstr>
      <vt:lpstr>IND2</vt:lpstr>
      <vt:lpstr>IND3</vt:lpstr>
      <vt:lpstr>IND4</vt:lpstr>
      <vt:lpstr>IND5</vt:lpstr>
      <vt:lpstr>IND6</vt:lpstr>
      <vt:lpstr>IND7</vt:lpstr>
      <vt:lpstr>IND8</vt:lpstr>
      <vt:lpstr>IND9</vt:lpstr>
      <vt:lpstr>IND10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LENOVO</cp:lastModifiedBy>
  <dcterms:created xsi:type="dcterms:W3CDTF">2021-11-24T23:07:32Z</dcterms:created>
  <dcterms:modified xsi:type="dcterms:W3CDTF">2024-08-02T16:35:38Z</dcterms:modified>
</cp:coreProperties>
</file>