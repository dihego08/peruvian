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\Desktop\PERUVIAN\"/>
    </mc:Choice>
  </mc:AlternateContent>
  <bookViews>
    <workbookView xWindow="-120" yWindow="-120" windowWidth="20730" windowHeight="11160"/>
  </bookViews>
  <sheets>
    <sheet name="PD-FOR-017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in7cTZTzq1Q2lE2bwAPBWoO+C61A=="/>
    </ext>
  </extLst>
</workbook>
</file>

<file path=xl/calcChain.xml><?xml version="1.0" encoding="utf-8"?>
<calcChain xmlns="http://schemas.openxmlformats.org/spreadsheetml/2006/main">
  <c r="AF17" i="1" l="1"/>
  <c r="AD14" i="1"/>
  <c r="AB14" i="1"/>
  <c r="Z14" i="1"/>
  <c r="X14" i="1"/>
  <c r="V14" i="1"/>
  <c r="T14" i="1"/>
  <c r="R14" i="1"/>
  <c r="P14" i="1"/>
  <c r="N14" i="1"/>
  <c r="L14" i="1"/>
  <c r="J14" i="1"/>
  <c r="H14" i="1"/>
</calcChain>
</file>

<file path=xl/sharedStrings.xml><?xml version="1.0" encoding="utf-8"?>
<sst xmlns="http://schemas.openxmlformats.org/spreadsheetml/2006/main" count="72" uniqueCount="49">
  <si>
    <t>Leyenda:</t>
  </si>
  <si>
    <t>P</t>
  </si>
  <si>
    <t>PLANIFICADO</t>
  </si>
  <si>
    <t>E</t>
  </si>
  <si>
    <t>EJECUTADO</t>
  </si>
  <si>
    <t>R</t>
  </si>
  <si>
    <t>REPROGRAMADO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</si>
  <si>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</si>
  <si>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</si>
  <si>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</si>
  <si>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</si>
  <si>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</si>
  <si>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</si>
  <si>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</si>
  <si>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</si>
  <si>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</si>
  <si>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</si>
  <si>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</si>
  <si>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</si>
  <si>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CUMPLIMIENTO MENSUAL</t>
  </si>
  <si>
    <t>NRO</t>
  </si>
  <si>
    <t>AUDITORIA</t>
  </si>
  <si>
    <t>OBJETIVO DE LA AUDITORIA</t>
  </si>
  <si>
    <t>ALCANCE</t>
  </si>
  <si>
    <t>CRITERIO DE AUDITORIA</t>
  </si>
  <si>
    <t>EQUIPO AUDITOR</t>
  </si>
  <si>
    <t>PROCESOS</t>
  </si>
  <si>
    <t>PRO</t>
  </si>
  <si>
    <t>EJE</t>
  </si>
  <si>
    <t>CUMPLIMIENTO ANUAL</t>
  </si>
  <si>
    <t xml:space="preserve">PROCEDIMIENTOS UTILIZADOS: </t>
  </si>
  <si>
    <t xml:space="preserve">CRITERIOS UTILIZADOS PARA LAS AUDITORÍAS: </t>
  </si>
  <si>
    <t xml:space="preserve">MÉTODOS DE AUDITORIA UTILIZADOS: </t>
  </si>
  <si>
    <t xml:space="preserve">RECURSOS NECESARIOS: </t>
  </si>
  <si>
    <t>OBSERVACIONES Y COMENTARIOS FINALES:</t>
  </si>
  <si>
    <t>REALIZADO POR:</t>
  </si>
  <si>
    <t>APROBADO POR:</t>
  </si>
  <si>
    <t>INTERNA</t>
  </si>
  <si>
    <t>Verificar el cumplimiento de los requisitos de la norma ISO 9001 e ISO 45001</t>
  </si>
  <si>
    <t>Diseño, Confección y Comercialización de Prendas de vestir, de moda, de trabajo, salud y seguridad</t>
  </si>
  <si>
    <t>ISO 9001 e ISO 45001</t>
  </si>
  <si>
    <t>Omar Mendoza</t>
  </si>
  <si>
    <t>TODOS</t>
  </si>
  <si>
    <t>Procedimiento de Auditoria Interna PD-PRO-015</t>
  </si>
  <si>
    <t>Norma Interncional, Procedimientos</t>
  </si>
  <si>
    <t>Entrevista, revisión documentaria, Revisión Visual</t>
  </si>
  <si>
    <t>Computadora, Impresora</t>
  </si>
  <si>
    <t>Ninguna</t>
  </si>
  <si>
    <t>Fecha de Elaboración: 07/12/2021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</si>
</sst>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</font>
    <font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1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9" fontId="1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9" fontId="3" fillId="2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/>
    <xf numFmtId="0" fontId="3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vertical="center" wrapText="1"/>
    </xf>
    <xf numFmtId="0" fontId="1" fillId="2" borderId="14" xfId="0" applyFont="1" applyFill="1" applyBorder="1" applyAlignment="1"/>
    <xf numFmtId="0" fontId="5" fillId="2" borderId="14" xfId="0" applyFont="1" applyFill="1" applyBorder="1" applyAlignment="1">
      <alignment vertical="center"/>
    </xf>
    <xf numFmtId="9" fontId="3" fillId="2" borderId="3" xfId="0" applyNumberFormat="1" applyFont="1" applyFill="1" applyBorder="1" applyAlignment="1">
      <alignment horizontal="center"/>
    </xf>
    <xf numFmtId="0" fontId="4" fillId="0" borderId="5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4" fillId="0" borderId="4" xfId="0" applyFont="1" applyBorder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11" xfId="0" applyFont="1" applyBorder="1"/>
    <xf numFmtId="0" fontId="1" fillId="2" borderId="12" xfId="0" applyFont="1" applyFill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830036</xdr:colOff>
      <xdr:row>0</xdr:row>
      <xdr:rowOff>108857</xdr:rowOff>
    </xdr:from>
    <xdr:to>
      <xdr:col>18</xdr:col>
      <xdr:colOff>190592</xdr:colOff>
      <xdr:row>7</xdr:row>
      <xdr:rowOff>57695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78F5787-A5D6-44BC-BDBF-13A1AE65BB16}"/>
            </a:ext>
          </a:extLst>
        </xdr:cNvPr>
        <xdr:cNvGrpSpPr/>
      </xdr:nvGrpSpPr>
      <xdr:grpSpPr>
        <a:xfrm>
          <a:off x="5125811" y="108857"/>
          <a:ext cx="6866256" cy="1063263"/>
          <a:chOff x="0" y="0"/>
          <a:chExt cx="7618672" cy="1194158"/>
        </a:xfrm>
      </xdr:grpSpPr>
      <xdr:sp macro="" textlink="">
        <xdr:nvSpPr>
          <xdr:cNvPr id="4" name="CuadroTexto 1">
            <a:extLst>
              <a:ext uri="{FF2B5EF4-FFF2-40B4-BE49-F238E27FC236}">
                <a16:creationId xmlns:a16="http://schemas.microsoft.com/office/drawing/2014/main" id="{D2687616-2394-4231-A402-20F98076B8C0}"/>
              </a:ext>
            </a:extLst>
          </xdr:cNvPr>
          <xdr:cNvSpPr txBox="1"/>
        </xdr:nvSpPr>
        <xdr:spPr>
          <a:xfrm>
            <a:off x="5989570" y="26275"/>
            <a:ext cx="1530569" cy="2948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PD-FOR-017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5" name="Conector recto 4">
            <a:extLst>
              <a:ext uri="{FF2B5EF4-FFF2-40B4-BE49-F238E27FC236}">
                <a16:creationId xmlns:a16="http://schemas.microsoft.com/office/drawing/2014/main" id="{26074E67-1F8F-4C38-B1F1-0DB6276F9D1F}"/>
              </a:ext>
            </a:extLst>
          </xdr:cNvPr>
          <xdr:cNvCxnSpPr/>
        </xdr:nvCxnSpPr>
        <xdr:spPr>
          <a:xfrm>
            <a:off x="0" y="1194158"/>
            <a:ext cx="7603434" cy="0"/>
          </a:xfrm>
          <a:prstGeom prst="line">
            <a:avLst/>
          </a:prstGeom>
          <a:ln w="38100" cmpd="thickThin">
            <a:solidFill>
              <a:schemeClr val="dk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D3ADADED-6F54-41C0-A2E7-CE70953B818F}"/>
              </a:ext>
            </a:extLst>
          </xdr:cNvPr>
          <xdr:cNvSpPr/>
        </xdr:nvSpPr>
        <xdr:spPr>
          <a:xfrm>
            <a:off x="5010793" y="0"/>
            <a:ext cx="2607879" cy="340069"/>
          </a:xfrm>
          <a:prstGeom prst="roundRect">
            <a:avLst/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PE"/>
          </a:p>
        </xdr:txBody>
      </xdr:sp>
      <xdr:sp macro="" textlink="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A9C70B5D-7A2E-46CB-A8FC-2B7EE7378235}"/>
              </a:ext>
            </a:extLst>
          </xdr:cNvPr>
          <xdr:cNvSpPr/>
        </xdr:nvSpPr>
        <xdr:spPr>
          <a:xfrm>
            <a:off x="5010793" y="386053"/>
            <a:ext cx="2607879" cy="340069"/>
          </a:xfrm>
          <a:prstGeom prst="roundRect">
            <a:avLst/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PE"/>
          </a:p>
        </xdr:txBody>
      </xdr:sp>
      <xdr:sp macro="" textlink="">
        <xdr:nvSpPr>
          <xdr:cNvPr id="8" name="Rectángulo: esquinas redondeadas 7">
            <a:extLst>
              <a:ext uri="{FF2B5EF4-FFF2-40B4-BE49-F238E27FC236}">
                <a16:creationId xmlns:a16="http://schemas.microsoft.com/office/drawing/2014/main" id="{C0D3B93A-9767-4F99-B9D9-8209DD7D3817}"/>
              </a:ext>
            </a:extLst>
          </xdr:cNvPr>
          <xdr:cNvSpPr/>
        </xdr:nvSpPr>
        <xdr:spPr>
          <a:xfrm>
            <a:off x="5010793" y="772107"/>
            <a:ext cx="2607879" cy="340069"/>
          </a:xfrm>
          <a:prstGeom prst="roundRect">
            <a:avLst/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PE"/>
          </a:p>
        </xdr:txBody>
      </xdr:sp>
      <xdr:sp macro="" textlink="">
        <xdr:nvSpPr>
          <xdr:cNvPr id="9" name="CuadroTexto 6">
            <a:extLst>
              <a:ext uri="{FF2B5EF4-FFF2-40B4-BE49-F238E27FC236}">
                <a16:creationId xmlns:a16="http://schemas.microsoft.com/office/drawing/2014/main" id="{F542CF97-E94E-4663-BD2B-7880586E108F}"/>
              </a:ext>
            </a:extLst>
          </xdr:cNvPr>
          <xdr:cNvSpPr txBox="1"/>
        </xdr:nvSpPr>
        <xdr:spPr>
          <a:xfrm>
            <a:off x="5083053" y="19706"/>
            <a:ext cx="729155" cy="2948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Código: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CuadroTexto 7">
            <a:extLst>
              <a:ext uri="{FF2B5EF4-FFF2-40B4-BE49-F238E27FC236}">
                <a16:creationId xmlns:a16="http://schemas.microsoft.com/office/drawing/2014/main" id="{116D7E27-9182-42FA-A997-35258921B01B}"/>
              </a:ext>
            </a:extLst>
          </xdr:cNvPr>
          <xdr:cNvSpPr txBox="1"/>
        </xdr:nvSpPr>
        <xdr:spPr>
          <a:xfrm>
            <a:off x="5056777" y="405759"/>
            <a:ext cx="775138" cy="2987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Versión: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CuadroTexto 8">
            <a:extLst>
              <a:ext uri="{FF2B5EF4-FFF2-40B4-BE49-F238E27FC236}">
                <a16:creationId xmlns:a16="http://schemas.microsoft.com/office/drawing/2014/main" id="{101A678F-0765-4528-AC3C-F0217B5A8358}"/>
              </a:ext>
            </a:extLst>
          </xdr:cNvPr>
          <xdr:cNvSpPr txBox="1"/>
        </xdr:nvSpPr>
        <xdr:spPr>
          <a:xfrm>
            <a:off x="5063347" y="791113"/>
            <a:ext cx="913086" cy="29408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F. Aprob.: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CuadroTexto 9">
            <a:extLst>
              <a:ext uri="{FF2B5EF4-FFF2-40B4-BE49-F238E27FC236}">
                <a16:creationId xmlns:a16="http://schemas.microsoft.com/office/drawing/2014/main" id="{7E0B54F7-7DA8-47CE-B555-7CC553D212B2}"/>
              </a:ext>
            </a:extLst>
          </xdr:cNvPr>
          <xdr:cNvSpPr txBox="1"/>
        </xdr:nvSpPr>
        <xdr:spPr>
          <a:xfrm>
            <a:off x="5983001" y="418897"/>
            <a:ext cx="1530569" cy="2940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001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CuadroTexto 10">
            <a:extLst>
              <a:ext uri="{FF2B5EF4-FFF2-40B4-BE49-F238E27FC236}">
                <a16:creationId xmlns:a16="http://schemas.microsoft.com/office/drawing/2014/main" id="{07D934BE-4DAE-4FF7-A262-2220D5955EB7}"/>
              </a:ext>
            </a:extLst>
          </xdr:cNvPr>
          <xdr:cNvSpPr txBox="1"/>
        </xdr:nvSpPr>
        <xdr:spPr>
          <a:xfrm>
            <a:off x="5976432" y="798381"/>
            <a:ext cx="1530569" cy="2940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01/12/2021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CuadroTexto 11">
            <a:extLst>
              <a:ext uri="{FF2B5EF4-FFF2-40B4-BE49-F238E27FC236}">
                <a16:creationId xmlns:a16="http://schemas.microsoft.com/office/drawing/2014/main" id="{E9D7C317-D1F2-4CBE-8D51-B5202B8BDADC}"/>
              </a:ext>
            </a:extLst>
          </xdr:cNvPr>
          <xdr:cNvSpPr txBox="1"/>
        </xdr:nvSpPr>
        <xdr:spPr>
          <a:xfrm>
            <a:off x="1882063" y="11979"/>
            <a:ext cx="3084634" cy="109903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MX" sz="1100" b="1"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PROGRAMA DE AUDITORIAS INTERNAS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976305C5-38E5-4EEC-ACE4-15265BFF22C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006" y="62556"/>
            <a:ext cx="1756996" cy="92670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002"/>
  <sheetViews>
    <sheetView tabSelected="1" view="pageBreakPreview" topLeftCell="D1" zoomScale="85" zoomScaleNormal="100" zoomScaleSheetLayoutView="85" workbookViewId="0">
      <selection activeCell="T17" sqref="T17"/>
    </sheetView>
  </sheetViews>
  <sheetFormatPr baseColWidth="10" defaultColWidth="12.625" defaultRowHeight="15" customHeight="1" x14ac:dyDescent="0.2"/>
  <cols>
    <col min="1" max="1" width="4.5" style="15" customWidth="1"/>
    <col min="2" max="2" width="9.5" style="15" customWidth="1"/>
    <col min="3" max="3" width="25.5" style="15" customWidth="1"/>
    <col min="4" max="4" width="16.875" style="15" customWidth="1"/>
    <col min="5" max="5" width="23.75" style="15" customWidth="1"/>
    <col min="6" max="6" width="10.875" style="15" customWidth="1"/>
    <col min="7" max="7" width="13" style="15" customWidth="1"/>
    <col min="8" max="31" width="4.625" style="15" customWidth="1"/>
    <col min="32" max="32" width="13.625" style="15" customWidth="1"/>
    <col min="33" max="16384" width="12.625" style="15"/>
  </cols>
  <sheetData>
    <row r="1" spans="1:32" ht="12.75" x14ac:dyDescent="0.2">
      <c r="A1" s="20"/>
      <c r="B1" s="20"/>
      <c r="C1" s="20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spans="1:32" ht="12.75" x14ac:dyDescent="0.2">
      <c r="A2" s="20"/>
      <c r="B2" s="20"/>
      <c r="C2" s="20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 spans="1:32" ht="12.75" x14ac:dyDescent="0.2">
      <c r="A3" s="20"/>
      <c r="B3" s="20"/>
      <c r="C3" s="20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spans="1:32" ht="12.75" x14ac:dyDescent="0.2">
      <c r="A4" s="20"/>
      <c r="B4" s="20"/>
      <c r="C4" s="20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2.75" x14ac:dyDescent="0.2">
      <c r="A5" s="20"/>
      <c r="B5" s="20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 spans="1:32" ht="15.75" x14ac:dyDescent="0.2">
      <c r="A6" s="20"/>
      <c r="B6" s="20"/>
      <c r="C6" s="20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19"/>
      <c r="AC6" s="19"/>
      <c r="AD6" s="19"/>
      <c r="AE6" s="19"/>
      <c r="AF6" s="19"/>
    </row>
    <row r="7" spans="1:32" ht="8.25" customHeight="1" x14ac:dyDescent="0.2">
      <c r="A7" s="1"/>
      <c r="B7" s="1"/>
      <c r="C7" s="1"/>
      <c r="D7" s="1"/>
      <c r="E7" s="1"/>
      <c r="F7" s="1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5.75" customHeight="1" x14ac:dyDescent="0.2">
      <c r="A8" s="3" t="s">
        <v>0</v>
      </c>
      <c r="B8" s="4"/>
      <c r="C8" s="1"/>
      <c r="D8" s="1"/>
      <c r="E8" s="1"/>
      <c r="F8" s="1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5.75" customHeight="1" x14ac:dyDescent="0.2">
      <c r="A9" s="5" t="s">
        <v>1</v>
      </c>
      <c r="B9" s="6" t="s">
        <v>2</v>
      </c>
      <c r="C9" s="1"/>
      <c r="D9" s="1"/>
      <c r="E9" s="1"/>
      <c r="F9" s="1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5.75" customHeight="1" x14ac:dyDescent="0.2">
      <c r="A10" s="5" t="s">
        <v>3</v>
      </c>
      <c r="B10" s="6" t="s">
        <v>4</v>
      </c>
      <c r="C10" s="1"/>
      <c r="D10" s="1"/>
      <c r="E10" s="1"/>
      <c r="F10" s="1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5.75" customHeight="1" x14ac:dyDescent="0.2">
      <c r="A11" s="5" t="s">
        <v>5</v>
      </c>
      <c r="B11" s="6" t="s">
        <v>6</v>
      </c>
      <c r="C11" s="1"/>
      <c r="D11" s="1"/>
      <c r="E11" s="1"/>
      <c r="F11" s="1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5" customHeight="1" x14ac:dyDescent="0.2">
      <c r="A12" s="1"/>
      <c r="B12" s="1"/>
      <c r="C12" s="1"/>
      <c r="D12" s="1"/>
      <c r="E12" s="1"/>
      <c r="F12" s="1"/>
      <c r="G12" s="2"/>
      <c r="H12" s="25">
        <v>2022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3"/>
      <c r="AF12" s="1"/>
    </row>
    <row r="13" spans="1:32" ht="13.5" customHeight="1" x14ac:dyDescent="0.2">
      <c r="A13" s="1"/>
      <c r="B13" s="1"/>
      <c r="C13" s="1"/>
      <c r="D13" s="1"/>
      <c r="E13" s="1"/>
      <c r="F13" s="1"/>
      <c r="G13" s="1"/>
      <c r="H13" s="24" t="s">
        <v>7</v>
      </c>
      <c r="I13" s="23"/>
      <c r="J13" s="24" t="s">
        <v>8</v>
      </c>
      <c r="K13" s="23"/>
      <c r="L13" s="24" t="s">
        <v>9</v>
      </c>
      <c r="M13" s="23"/>
      <c r="N13" s="24" t="s">
        <v>10</v>
      </c>
      <c r="O13" s="23"/>
      <c r="P13" s="24" t="s">
        <v>11</v>
      </c>
      <c r="Q13" s="23"/>
      <c r="R13" s="24" t="s">
        <v>12</v>
      </c>
      <c r="S13" s="23"/>
      <c r="T13" s="24" t="s">
        <v>13</v>
      </c>
      <c r="U13" s="23"/>
      <c r="V13" s="24" t="s">
        <v>14</v>
      </c>
      <c r="W13" s="23"/>
      <c r="X13" s="24" t="s">
        <v>15</v>
      </c>
      <c r="Y13" s="23"/>
      <c r="Z13" s="24" t="s">
        <v>16</v>
      </c>
      <c r="AA13" s="23"/>
      <c r="AB13" s="24" t="s">
        <v>17</v>
      </c>
      <c r="AC13" s="23"/>
      <c r="AD13" s="24" t="s">
        <v>18</v>
      </c>
      <c r="AE13" s="23"/>
      <c r="AF13" s="7"/>
    </row>
    <row r="14" spans="1:32" ht="13.5" customHeight="1" x14ac:dyDescent="0.2">
      <c r="A14" s="1"/>
      <c r="B14" s="8"/>
      <c r="C14" s="8"/>
      <c r="D14" s="8"/>
      <c r="E14" s="8"/>
      <c r="F14" s="24" t="s">
        <v>19</v>
      </c>
      <c r="G14" s="23"/>
      <c r="H14" s="22">
        <f>IFERROR(COUNTIF(I17,"E")/COUNTIF(H17,"P"),0)</f>
        <v>0</v>
      </c>
      <c r="I14" s="23"/>
      <c r="J14" s="22">
        <f>IFERROR(COUNTIF(K17,"E")/COUNTIF(J17,"P"),0)</f>
        <v>0</v>
      </c>
      <c r="K14" s="23"/>
      <c r="L14" s="22">
        <f>IFERROR(COUNTIF(M17,"E")/COUNTIF(L17,"P"),0)</f>
        <v>0</v>
      </c>
      <c r="M14" s="23"/>
      <c r="N14" s="22">
        <f>IFERROR(COUNTIF(O17,"E")/COUNTIF(N17,"P"),0)</f>
        <v>0</v>
      </c>
      <c r="O14" s="23"/>
      <c r="P14" s="22">
        <f>IFERROR(COUNTIF(Q17,"E")/COUNTIF(P17,"P"),0)</f>
        <v>0</v>
      </c>
      <c r="Q14" s="23"/>
      <c r="R14" s="22">
        <f>IFERROR(COUNTIF(S17,"E")/COUNTIF(R17,"P"),0)</f>
        <v>0</v>
      </c>
      <c r="S14" s="23"/>
      <c r="T14" s="22">
        <f>IFERROR(COUNTIF(U17,"E")/COUNTIF(T17,"P"),0)</f>
        <v>0</v>
      </c>
      <c r="U14" s="23"/>
      <c r="V14" s="22">
        <f>IFERROR(COUNTIF(W17,"E")/COUNTIF(V17,"P"),0)</f>
        <v>0</v>
      </c>
      <c r="W14" s="23"/>
      <c r="X14" s="22">
        <f>IFERROR(COUNTIF(Y17,"E")/COUNTIF(X17,"P"),0)</f>
        <v>0</v>
      </c>
      <c r="Y14" s="23"/>
      <c r="Z14" s="22">
        <f>IFERROR(COUNTIF(AA17,"E")/COUNTIF(Z17,"P"),0)</f>
        <v>0</v>
      </c>
      <c r="AA14" s="23"/>
      <c r="AB14" s="22">
        <f>IFERROR(COUNTIF(AC17,"E")/COUNTIF(AB17,"P"),0)</f>
        <v>0</v>
      </c>
      <c r="AC14" s="23"/>
      <c r="AD14" s="22">
        <f>IFERROR(COUNTIF(AE17,"E")/COUNTIF(AD17,"P"),0)</f>
        <v>0</v>
      </c>
      <c r="AE14" s="23"/>
      <c r="AF14" s="7"/>
    </row>
    <row r="15" spans="1:32" ht="5.25" customHeight="1" x14ac:dyDescent="0.2">
      <c r="A15" s="1"/>
      <c r="B15" s="1"/>
      <c r="C15" s="1"/>
      <c r="D15" s="1"/>
      <c r="E15" s="1"/>
      <c r="F15" s="1"/>
      <c r="G15" s="7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7"/>
    </row>
    <row r="16" spans="1:32" ht="34.5" customHeight="1" x14ac:dyDescent="0.2">
      <c r="A16" s="10" t="s">
        <v>20</v>
      </c>
      <c r="B16" s="10" t="s">
        <v>21</v>
      </c>
      <c r="C16" s="10" t="s">
        <v>22</v>
      </c>
      <c r="D16" s="10" t="s">
        <v>23</v>
      </c>
      <c r="E16" s="10" t="s">
        <v>24</v>
      </c>
      <c r="F16" s="10" t="s">
        <v>25</v>
      </c>
      <c r="G16" s="10" t="s">
        <v>26</v>
      </c>
      <c r="H16" s="16" t="s">
        <v>27</v>
      </c>
      <c r="I16" s="10" t="s">
        <v>28</v>
      </c>
      <c r="J16" s="10" t="s">
        <v>27</v>
      </c>
      <c r="K16" s="10" t="s">
        <v>28</v>
      </c>
      <c r="L16" s="10" t="s">
        <v>27</v>
      </c>
      <c r="M16" s="10" t="s">
        <v>28</v>
      </c>
      <c r="N16" s="10" t="s">
        <v>27</v>
      </c>
      <c r="O16" s="10" t="s">
        <v>28</v>
      </c>
      <c r="P16" s="10" t="s">
        <v>27</v>
      </c>
      <c r="Q16" s="10" t="s">
        <v>28</v>
      </c>
      <c r="R16" s="10" t="s">
        <v>27</v>
      </c>
      <c r="S16" s="10" t="s">
        <v>28</v>
      </c>
      <c r="T16" s="10" t="s">
        <v>27</v>
      </c>
      <c r="U16" s="10" t="s">
        <v>28</v>
      </c>
      <c r="V16" s="10" t="s">
        <v>27</v>
      </c>
      <c r="W16" s="10" t="s">
        <v>28</v>
      </c>
      <c r="X16" s="10" t="s">
        <v>27</v>
      </c>
      <c r="Y16" s="10" t="s">
        <v>28</v>
      </c>
      <c r="Z16" s="10" t="s">
        <v>27</v>
      </c>
      <c r="AA16" s="10" t="s">
        <v>28</v>
      </c>
      <c r="AB16" s="10" t="s">
        <v>27</v>
      </c>
      <c r="AC16" s="10" t="s">
        <v>28</v>
      </c>
      <c r="AD16" s="10" t="s">
        <v>27</v>
      </c>
      <c r="AE16" s="10" t="s">
        <v>28</v>
      </c>
      <c r="AF16" s="10" t="s">
        <v>29</v>
      </c>
    </row>
    <row r="17" spans="1:32" ht="213.75" customHeight="1" x14ac:dyDescent="0.2">
      <c r="A17" s="11">
        <v>1</v>
      </c>
      <c r="B17" s="5" t="s">
        <v>37</v>
      </c>
      <c r="C17" s="5" t="s">
        <v>38</v>
      </c>
      <c r="D17" s="12" t="s">
        <v>39</v>
      </c>
      <c r="E17" s="5" t="s">
        <v>40</v>
      </c>
      <c r="F17" s="5" t="s">
        <v>41</v>
      </c>
      <c r="G17" s="5" t="s">
        <v>42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 t="s">
        <v>1</v>
      </c>
      <c r="AE17" s="5"/>
      <c r="AF17" s="13">
        <f>IFERROR(COUNTIF(H17:AE17,"E")/COUNTIF(H17:AE17,"P"),0)</f>
        <v>0</v>
      </c>
    </row>
    <row r="18" spans="1:32" ht="25.5" customHeight="1" x14ac:dyDescent="0.2">
      <c r="A18" s="24" t="s">
        <v>30</v>
      </c>
      <c r="B18" s="26"/>
      <c r="C18" s="23"/>
      <c r="D18" s="33" t="s">
        <v>43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3"/>
    </row>
    <row r="19" spans="1:32" ht="25.5" customHeight="1" x14ac:dyDescent="0.2">
      <c r="A19" s="24" t="s">
        <v>31</v>
      </c>
      <c r="B19" s="26"/>
      <c r="C19" s="23"/>
      <c r="D19" s="33" t="s">
        <v>44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3"/>
    </row>
    <row r="20" spans="1:32" ht="25.5" customHeight="1" x14ac:dyDescent="0.2">
      <c r="A20" s="24" t="s">
        <v>32</v>
      </c>
      <c r="B20" s="26"/>
      <c r="C20" s="23"/>
      <c r="D20" s="33" t="s">
        <v>45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3"/>
    </row>
    <row r="21" spans="1:32" ht="25.5" customHeight="1" x14ac:dyDescent="0.2">
      <c r="A21" s="24" t="s">
        <v>33</v>
      </c>
      <c r="B21" s="26"/>
      <c r="C21" s="23"/>
      <c r="D21" s="33" t="s">
        <v>46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3"/>
    </row>
    <row r="22" spans="1:32" ht="25.5" customHeight="1" x14ac:dyDescent="0.2">
      <c r="A22" s="24" t="s">
        <v>34</v>
      </c>
      <c r="B22" s="26"/>
      <c r="C22" s="23"/>
      <c r="D22" s="33" t="s">
        <v>47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3"/>
    </row>
    <row r="23" spans="1:32" ht="9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ht="19.5" customHeight="1" x14ac:dyDescent="0.2">
      <c r="A24" s="17" t="s">
        <v>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2" customHeight="1" x14ac:dyDescent="0.2">
      <c r="A26" s="1"/>
      <c r="B26" s="1"/>
      <c r="C26" s="1"/>
      <c r="D26" s="1"/>
      <c r="E26" s="18" t="s">
        <v>35</v>
      </c>
      <c r="F26" s="8"/>
      <c r="G26" s="8"/>
      <c r="H26" s="8"/>
      <c r="I26" s="8"/>
      <c r="J26" s="8"/>
      <c r="K26" s="1"/>
      <c r="L26" s="1"/>
      <c r="M26" s="1"/>
      <c r="N26" s="1"/>
      <c r="O26" s="1"/>
      <c r="P26" s="1"/>
      <c r="Q26" s="1"/>
      <c r="R26" s="1"/>
      <c r="S26" s="1"/>
      <c r="T26" s="1"/>
      <c r="U26" s="27" t="s">
        <v>36</v>
      </c>
      <c r="V26" s="28"/>
      <c r="W26" s="28"/>
      <c r="X26" s="28"/>
      <c r="Y26" s="28"/>
      <c r="Z26" s="28"/>
      <c r="AA26" s="28"/>
      <c r="AB26" s="28"/>
      <c r="AC26" s="29"/>
      <c r="AD26" s="1"/>
      <c r="AE26" s="1"/>
      <c r="AF26" s="1"/>
    </row>
    <row r="27" spans="1:32" ht="12" customHeight="1" x14ac:dyDescent="0.2">
      <c r="A27" s="1"/>
      <c r="B27" s="1"/>
      <c r="C27" s="1"/>
      <c r="D27" s="1"/>
      <c r="E27" s="1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30"/>
      <c r="V27" s="31"/>
      <c r="W27" s="31"/>
      <c r="X27" s="31"/>
      <c r="Y27" s="31"/>
      <c r="Z27" s="31"/>
      <c r="AA27" s="31"/>
      <c r="AB27" s="31"/>
      <c r="AC27" s="32"/>
      <c r="AD27" s="1"/>
      <c r="AE27" s="1"/>
      <c r="AF27" s="1"/>
    </row>
    <row r="28" spans="1:32" ht="13.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3.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3.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3.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3.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3.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3.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3.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3.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13.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3.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3.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3.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3.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3.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3.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3.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3.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3.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3.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3.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3.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3.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3.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3.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ht="13.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3.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3.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13.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3.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3.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3.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3.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3.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3.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3.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3.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3.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3.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3.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3.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3.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3.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3.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3.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3.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3.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3.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3.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3.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3.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3.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3.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3.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3.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3.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3.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3.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3.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3.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3.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3.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3.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3.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3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3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3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3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3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3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3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3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3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3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3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3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3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3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3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3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3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3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3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3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3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3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3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3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3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3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3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3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3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3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3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3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3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3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3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3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3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3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3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3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3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3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3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3.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3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3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3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3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3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3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3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3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3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3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3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3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13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13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13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13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13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3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3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13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3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3.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3.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3.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3.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13.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13.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13.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13.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13.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13.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3.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3.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3.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3.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3.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3.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3.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3.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3.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3.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3.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3.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3.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3.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3.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3.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3.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3.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3.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3.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3.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3.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3.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3.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13.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13.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13.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13.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13.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13.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13.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13.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13.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13.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3.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3.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3.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3.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3.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3.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3.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3.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3.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3.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3.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3.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3.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3.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3.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3.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3.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3.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3.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3.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3.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3.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3.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3.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3.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3.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3.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3.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3.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3.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3.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3.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3.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3.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3.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3.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3.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3.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3.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13.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13.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13.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13.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13.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13.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13.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13.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13.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13.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13.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13.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13.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13.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13.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13.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13.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ht="13.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ht="13.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ht="13.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ht="13.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ht="13.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ht="13.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ht="13.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ht="13.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ht="13.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ht="13.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ht="13.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ht="13.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ht="13.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ht="13.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ht="13.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ht="13.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ht="13.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ht="13.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ht="13.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ht="13.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ht="13.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ht="13.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t="13.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t="13.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ht="13.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ht="13.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ht="13.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ht="13.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ht="13.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ht="13.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ht="13.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ht="13.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ht="13.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ht="13.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ht="13.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ht="13.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ht="13.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ht="13.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ht="13.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ht="13.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ht="13.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ht="13.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ht="13.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ht="13.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ht="13.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ht="13.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ht="13.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ht="13.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ht="13.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ht="13.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ht="13.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ht="13.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ht="13.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ht="13.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ht="13.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ht="13.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ht="13.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ht="13.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ht="13.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ht="13.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ht="13.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ht="13.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ht="13.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ht="13.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ht="13.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ht="13.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ht="13.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ht="13.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ht="13.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ht="13.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ht="13.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ht="13.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ht="13.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ht="13.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ht="13.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ht="13.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ht="13.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ht="13.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ht="13.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ht="13.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ht="13.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ht="13.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ht="13.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ht="13.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ht="13.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ht="13.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ht="13.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ht="13.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ht="13.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ht="13.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ht="13.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ht="13.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ht="13.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ht="13.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ht="13.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ht="13.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ht="13.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ht="13.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ht="13.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ht="13.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ht="13.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ht="13.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ht="13.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ht="13.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ht="13.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ht="13.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ht="13.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ht="13.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ht="13.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ht="13.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ht="13.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ht="13.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ht="13.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ht="13.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ht="13.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ht="13.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ht="13.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ht="13.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ht="13.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ht="13.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ht="13.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ht="13.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ht="13.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ht="13.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ht="13.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ht="13.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ht="13.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ht="13.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ht="13.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ht="13.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ht="13.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ht="13.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ht="13.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ht="13.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ht="13.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ht="13.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ht="13.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ht="13.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ht="13.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ht="13.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ht="13.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ht="13.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ht="13.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ht="13.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ht="13.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ht="13.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ht="13.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ht="13.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ht="13.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ht="13.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ht="13.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ht="13.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ht="13.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ht="13.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ht="13.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ht="13.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ht="13.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ht="13.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ht="13.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ht="13.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ht="13.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ht="13.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ht="13.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ht="13.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ht="13.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ht="13.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ht="13.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ht="13.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ht="13.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ht="13.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ht="13.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ht="13.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ht="13.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ht="13.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ht="13.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ht="13.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ht="13.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ht="13.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ht="13.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ht="13.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ht="13.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ht="13.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ht="13.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ht="13.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ht="13.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ht="13.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ht="13.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ht="13.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ht="13.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ht="13.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ht="13.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ht="13.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ht="13.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ht="13.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ht="13.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ht="13.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ht="13.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ht="13.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ht="13.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ht="13.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ht="13.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ht="13.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ht="13.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ht="13.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ht="13.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ht="13.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ht="13.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ht="13.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ht="13.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ht="13.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ht="13.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ht="13.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ht="13.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ht="13.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ht="13.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ht="13.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ht="13.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ht="13.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ht="13.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ht="13.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ht="13.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ht="13.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ht="13.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ht="13.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ht="13.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ht="13.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ht="13.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ht="13.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ht="13.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ht="13.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ht="13.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ht="13.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ht="13.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ht="13.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ht="13.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ht="13.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ht="13.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ht="13.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ht="13.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ht="13.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ht="13.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ht="13.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ht="13.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ht="13.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ht="13.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ht="13.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ht="13.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ht="13.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ht="13.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ht="13.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ht="13.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ht="13.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ht="13.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ht="13.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ht="13.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ht="13.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ht="13.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ht="13.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ht="13.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ht="13.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ht="13.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ht="13.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ht="13.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ht="13.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ht="13.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ht="13.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ht="13.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ht="13.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ht="13.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ht="13.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ht="13.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ht="13.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ht="13.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ht="13.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ht="13.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ht="13.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ht="13.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ht="13.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ht="13.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ht="13.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ht="13.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ht="13.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ht="13.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ht="13.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ht="13.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ht="13.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ht="13.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ht="13.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ht="13.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ht="13.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ht="13.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ht="13.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ht="13.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ht="13.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ht="13.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ht="13.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ht="13.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ht="13.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ht="13.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ht="13.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ht="13.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ht="13.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ht="13.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ht="13.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ht="13.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ht="13.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ht="13.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ht="13.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ht="13.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ht="13.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ht="13.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ht="13.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ht="13.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ht="13.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ht="13.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ht="13.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ht="13.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ht="13.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ht="13.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ht="13.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ht="13.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ht="13.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ht="13.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ht="13.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ht="13.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ht="13.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ht="13.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ht="13.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ht="13.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ht="13.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ht="13.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ht="13.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ht="13.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ht="13.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ht="13.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ht="13.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ht="13.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ht="13.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ht="13.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ht="13.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ht="13.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ht="13.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ht="13.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ht="13.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ht="13.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ht="13.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ht="13.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ht="13.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ht="13.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ht="13.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ht="13.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ht="13.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ht="13.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ht="13.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ht="13.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ht="13.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ht="13.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ht="13.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ht="13.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ht="13.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ht="13.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ht="13.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ht="13.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ht="13.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ht="13.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ht="13.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ht="13.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ht="13.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ht="13.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ht="13.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ht="13.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ht="13.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ht="13.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ht="13.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ht="13.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ht="13.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ht="13.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ht="13.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ht="13.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ht="13.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ht="13.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ht="13.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ht="13.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ht="13.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ht="13.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ht="13.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ht="13.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ht="13.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ht="13.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ht="13.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ht="13.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ht="13.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ht="13.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ht="13.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ht="13.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ht="13.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ht="13.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ht="13.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ht="13.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ht="13.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ht="13.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ht="13.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ht="13.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ht="13.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ht="13.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ht="13.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ht="13.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1:32" ht="13.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1:32" ht="13.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1:32" ht="13.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1:32" ht="13.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1:32" ht="13.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1:32" ht="13.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1:32" ht="13.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1:32" ht="13.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1:32" ht="13.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1:32" ht="13.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1:32" ht="13.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 ht="13.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1:32" ht="13.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1:32" ht="13.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1:32" ht="13.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1:32" ht="13.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1:32" ht="13.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 ht="13.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 ht="13.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1:32" ht="13.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 ht="13.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1:32" ht="13.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1:32" ht="13.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 ht="13.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 ht="13.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 ht="13.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 ht="13.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 ht="13.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 ht="13.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 ht="13.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 ht="13.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 ht="13.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 ht="13.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 ht="13.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1:32" ht="13.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 ht="13.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 ht="13.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1:32" ht="13.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1:32" ht="13.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 ht="13.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 ht="13.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 ht="13.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 ht="13.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 ht="13.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 ht="13.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 ht="13.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 ht="13.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 ht="13.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 ht="13.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 ht="13.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 ht="13.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 ht="13.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 ht="13.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 ht="13.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 ht="13.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 ht="13.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 ht="13.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 ht="13.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 ht="13.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 ht="13.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 ht="13.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 ht="13.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 ht="13.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 ht="13.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 ht="13.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 ht="13.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 ht="13.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 ht="13.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 ht="13.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 ht="13.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 ht="13.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 ht="13.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 ht="13.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 ht="13.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 ht="13.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 ht="13.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 ht="13.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 ht="13.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 ht="13.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 ht="13.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 ht="13.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 ht="13.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 ht="13.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 ht="13.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 ht="13.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 ht="13.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 ht="13.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 ht="13.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 ht="13.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 ht="13.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 ht="13.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 ht="13.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 ht="13.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 ht="13.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 ht="13.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 ht="13.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 ht="13.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 ht="13.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 ht="13.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 ht="13.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 ht="13.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 ht="13.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 ht="13.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 ht="13.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 ht="13.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 ht="13.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 ht="13.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 ht="13.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 ht="13.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 ht="13.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 ht="13.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 ht="13.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 ht="13.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 ht="13.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 ht="13.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 ht="13.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 ht="13.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 ht="13.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 ht="13.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 ht="13.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 ht="13.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 ht="13.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 ht="13.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 ht="13.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 ht="13.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 ht="13.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 ht="13.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 ht="13.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 ht="13.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 ht="13.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 ht="13.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 ht="13.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 ht="13.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 ht="13.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 ht="13.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 ht="13.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 ht="13.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 ht="13.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 ht="13.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 ht="13.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 ht="13.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 ht="13.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 ht="13.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 ht="13.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 ht="13.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 ht="13.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 ht="13.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 ht="13.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 ht="13.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 ht="13.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 ht="13.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 ht="13.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 ht="13.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 ht="13.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 ht="13.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 ht="13.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 ht="13.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 ht="13.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 ht="13.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 ht="13.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 ht="13.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 ht="13.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 ht="13.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 ht="13.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 ht="13.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 ht="13.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 ht="13.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 ht="13.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 ht="13.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 ht="13.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 ht="13.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 ht="13.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 ht="13.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 ht="13.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 ht="13.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 ht="13.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 ht="13.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 ht="13.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 ht="13.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 ht="13.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 ht="13.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 ht="13.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 ht="13.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 ht="13.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 ht="13.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 ht="13.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 ht="13.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 ht="13.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 ht="13.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 ht="13.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 ht="13.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 ht="13.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 ht="13.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 ht="13.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 ht="13.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 ht="13.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 ht="13.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 ht="13.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 ht="13.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 ht="13.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 ht="13.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 ht="13.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 ht="13.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 ht="13.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 ht="13.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 ht="13.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 ht="13.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 ht="13.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 ht="13.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 ht="13.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 ht="13.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 ht="13.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 ht="13.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 ht="13.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 ht="13.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 ht="13.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 ht="13.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 ht="13.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 ht="13.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 ht="13.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 ht="13.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 ht="13.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 ht="13.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 ht="13.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 ht="13.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 ht="13.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 ht="13.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 ht="13.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 ht="13.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 ht="13.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 ht="13.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 ht="13.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 ht="13.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 ht="13.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 ht="13.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 ht="13.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 ht="13.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 ht="13.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 ht="13.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 ht="13.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 ht="13.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 ht="13.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 ht="13.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 ht="13.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 ht="13.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 ht="13.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 ht="13.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 ht="13.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 ht="13.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 ht="13.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 ht="13.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 ht="13.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 ht="13.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 ht="13.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 ht="13.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 ht="13.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 ht="13.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 ht="13.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 ht="13.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 ht="13.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 ht="13.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 ht="13.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 ht="13.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 ht="13.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 ht="13.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 ht="13.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 ht="13.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 ht="13.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 ht="13.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 ht="13.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 ht="13.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 ht="13.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 ht="13.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1:32" ht="13.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1:32" ht="13.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 ht="13.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 ht="13.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1:32" ht="13.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1:32" ht="13.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1:32" ht="13.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1:32" ht="13.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spans="1:32" ht="13.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spans="1:32" ht="13.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spans="1:32" ht="13.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spans="1:32" ht="13.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spans="1:32" ht="13.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spans="1:32" ht="13.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spans="1:32" ht="13.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spans="1:32" ht="13.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spans="1:32" ht="13.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spans="1:32" ht="13.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spans="1:32" ht="13.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spans="1:32" ht="13.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spans="1:32" ht="13.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spans="1:32" ht="13.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spans="1:32" ht="13.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spans="1:32" ht="13.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spans="1:32" ht="13.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spans="1:32" ht="13.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spans="1:32" ht="13.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spans="1:32" ht="13.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spans="1:32" ht="13.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spans="1:32" ht="13.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spans="1:32" ht="13.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spans="1:32" ht="13.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spans="1:32" ht="13.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spans="1:32" ht="13.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spans="1:32" ht="13.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spans="1:32" ht="13.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spans="1:32" ht="13.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spans="1:32" ht="13.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spans="1:32" ht="13.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spans="1:32" ht="13.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spans="1:32" ht="13.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spans="1:32" ht="13.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spans="1:32" ht="13.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spans="1:32" ht="13.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spans="1:32" ht="13.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spans="1:32" ht="13.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spans="1:32" ht="13.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spans="1:32" ht="13.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spans="1:32" ht="13.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spans="1:32" ht="13.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spans="1:32" ht="13.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spans="1:32" ht="13.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spans="1:32" ht="13.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spans="1:32" ht="13.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spans="1:32" ht="13.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spans="1:32" ht="13.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spans="1:32" ht="13.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spans="1:32" ht="13.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spans="1:32" ht="13.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spans="1:32" ht="13.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spans="1:32" ht="13.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spans="1:32" ht="13.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spans="1:32" ht="13.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spans="1:32" ht="13.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spans="1:32" ht="13.5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spans="1:32" ht="13.5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</sheetData>
  <mergeCells count="38">
    <mergeCell ref="A21:C21"/>
    <mergeCell ref="A22:C22"/>
    <mergeCell ref="A18:C18"/>
    <mergeCell ref="D18:AF18"/>
    <mergeCell ref="A19:C19"/>
    <mergeCell ref="D19:AF19"/>
    <mergeCell ref="A20:C20"/>
    <mergeCell ref="D20:AF20"/>
    <mergeCell ref="D21:AF21"/>
    <mergeCell ref="D22:AF22"/>
    <mergeCell ref="F14:G14"/>
    <mergeCell ref="H14:I14"/>
    <mergeCell ref="J14:K14"/>
    <mergeCell ref="L14:M14"/>
    <mergeCell ref="N14:O14"/>
    <mergeCell ref="U27:AC27"/>
    <mergeCell ref="AB13:AC13"/>
    <mergeCell ref="AD13:AE13"/>
    <mergeCell ref="AB14:AC14"/>
    <mergeCell ref="AD14:AE14"/>
    <mergeCell ref="V13:W13"/>
    <mergeCell ref="T14:U14"/>
    <mergeCell ref="V14:W14"/>
    <mergeCell ref="X13:Y13"/>
    <mergeCell ref="Z13:AA13"/>
    <mergeCell ref="X14:Y14"/>
    <mergeCell ref="Z14:AA14"/>
    <mergeCell ref="P14:Q14"/>
    <mergeCell ref="R14:S14"/>
    <mergeCell ref="T13:U13"/>
    <mergeCell ref="H12:AE12"/>
    <mergeCell ref="U26:AC26"/>
    <mergeCell ref="P13:Q13"/>
    <mergeCell ref="R13:S13"/>
    <mergeCell ref="H13:I13"/>
    <mergeCell ref="J13:K13"/>
    <mergeCell ref="L13:M13"/>
    <mergeCell ref="N13:O13"/>
  </mergeCells>
  <conditionalFormatting sqref="J17 H17 N17 P17 R17 T17 V17 X17 Z17 AB17 L17 AD17">
    <cfRule type="cellIs" dxfId="6" priority="1" operator="equal">
      <formula>"P"</formula>
    </cfRule>
  </conditionalFormatting>
  <conditionalFormatting sqref="I17 K17 M17 O17 Q17 S17 U17 W17 Y17 AA17 AC17 AE17:AF17">
    <cfRule type="cellIs" dxfId="5" priority="2" operator="equal">
      <formula>"E"</formula>
    </cfRule>
  </conditionalFormatting>
  <conditionalFormatting sqref="H14:AE15 AF17">
    <cfRule type="cellIs" dxfId="4" priority="3" operator="equal">
      <formula>1</formula>
    </cfRule>
  </conditionalFormatting>
  <conditionalFormatting sqref="A9">
    <cfRule type="cellIs" dxfId="3" priority="4" operator="equal">
      <formula>"P"</formula>
    </cfRule>
  </conditionalFormatting>
  <conditionalFormatting sqref="A10">
    <cfRule type="cellIs" dxfId="2" priority="5" operator="equal">
      <formula>"E"</formula>
    </cfRule>
  </conditionalFormatting>
  <conditionalFormatting sqref="A11">
    <cfRule type="cellIs" dxfId="1" priority="6" operator="equal">
      <formula>"E"</formula>
    </cfRule>
  </conditionalFormatting>
  <conditionalFormatting sqref="A11">
    <cfRule type="cellIs" dxfId="0" priority="7" operator="equal">
      <formula>"R"</formula>
    </cfRule>
  </conditionalFormatting>
  <pageMargins left="0.70866141732283461" right="0.70866141732283461" top="0.74803149606299213" bottom="0.74803149606299213" header="0" footer="0"/>
  <pageSetup paperSize="9"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PD-FOR-017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 Mendoza</dc:creator>
  <cp:lastModifiedBy>User</cp:lastModifiedBy>
  <cp:lastPrinted>2021-03-29T22:19:31Z</cp:lastPrinted>
  <dcterms:created xsi:type="dcterms:W3CDTF">2019-02-14T20:54:40Z</dcterms:created>
  <dcterms:modified xsi:type="dcterms:W3CDTF">2022-01-14T02:00:10Z</dcterms:modified>
</cp:coreProperties>
</file>