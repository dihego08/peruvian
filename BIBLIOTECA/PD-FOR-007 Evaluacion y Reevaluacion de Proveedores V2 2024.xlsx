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13_ncr:1_{BA798DD4-27F2-45E9-A19F-2F64BCED55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on al 27-12-2022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Yiav+h4fWjmcSCesz+yR56nnsbJbDenFOLYkAtgo8rk="/>
    </ext>
  </extLst>
</workbook>
</file>

<file path=xl/calcChain.xml><?xml version="1.0" encoding="utf-8"?>
<calcChain xmlns="http://schemas.openxmlformats.org/spreadsheetml/2006/main">
  <c r="O29" i="1" l="1"/>
  <c r="P29" i="1" s="1"/>
  <c r="O25" i="1"/>
  <c r="P25" i="1" s="1"/>
  <c r="O26" i="1"/>
  <c r="P26" i="1"/>
  <c r="O27" i="1"/>
  <c r="P27" i="1" s="1"/>
  <c r="O28" i="1"/>
  <c r="P28" i="1"/>
  <c r="O24" i="1"/>
  <c r="P24" i="1" s="1"/>
  <c r="O23" i="1"/>
  <c r="P23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13" i="1"/>
  <c r="P13" i="1" s="1"/>
  <c r="O12" i="1"/>
  <c r="P12" i="1" s="1"/>
  <c r="O14" i="1"/>
  <c r="P14" i="1" s="1"/>
  <c r="O15" i="1"/>
  <c r="P15" i="1" s="1"/>
  <c r="O11" i="1"/>
</calcChain>
</file>

<file path=xl/sharedStrings.xml><?xml version="1.0" encoding="utf-8"?>
<sst xmlns="http://schemas.openxmlformats.org/spreadsheetml/2006/main" count="67" uniqueCount="64">
  <si>
    <t>Item</t>
  </si>
  <si>
    <t>Nombre del Proveedor</t>
  </si>
  <si>
    <t>Producto / Servicio</t>
  </si>
  <si>
    <t>Fecha de Evaluación</t>
  </si>
  <si>
    <t>CRITERIOS DE EVALUACION / REEVALUACION</t>
  </si>
  <si>
    <t>CALIFICACIÓN</t>
  </si>
  <si>
    <t>RESULTADO</t>
  </si>
  <si>
    <t>Tiempos de entrega</t>
  </si>
  <si>
    <t>Garantia</t>
  </si>
  <si>
    <t>Precios competitivos</t>
  </si>
  <si>
    <t>Facilidades de pago</t>
  </si>
  <si>
    <t>Asesoramiento</t>
  </si>
  <si>
    <t>Disponibilidad</t>
  </si>
  <si>
    <t>Documentación requerida</t>
  </si>
  <si>
    <t>REPUESTOS GUTI E.I.R.L.</t>
  </si>
  <si>
    <t xml:space="preserve">Repuestos, aujas, fajas de maquinas de costura </t>
  </si>
  <si>
    <t>THE ELEPHANT AQP E.I.R.L.</t>
  </si>
  <si>
    <t>Hilos, elasticos, cinta reflectiva, aujas, cordones, topes, tallas</t>
  </si>
  <si>
    <t>ZAPANA ZAPANA JOHN AGUSTIN</t>
  </si>
  <si>
    <t>Maquinas industriales de costura</t>
  </si>
  <si>
    <t>DISTRIBUIDORA NAGAVE E.I.R.L.</t>
  </si>
  <si>
    <t>Articulos de oficina y libreria</t>
  </si>
  <si>
    <t>HUACHACA CCOSCO JOSE</t>
  </si>
  <si>
    <t>Cintas, botones, encajes, elasticos, sesgo</t>
  </si>
  <si>
    <t>HUACANI HUAMANI MARILU ELIANA</t>
  </si>
  <si>
    <t>Tela plana, tela de agua, tela drill, tela oxfor,tela popelina</t>
  </si>
  <si>
    <t>TEXTILES DENEGUI E.I.R.L</t>
  </si>
  <si>
    <t>Tela Drill tecnologia, drill San Jacinto</t>
  </si>
  <si>
    <t>CRITERIOS DE EVALUACIÓN</t>
  </si>
  <si>
    <t>EVALUACIÓN</t>
  </si>
  <si>
    <t>PUNTUACION</t>
  </si>
  <si>
    <t>No aceptable</t>
  </si>
  <si>
    <t>Bueno</t>
  </si>
  <si>
    <t>Excelente</t>
  </si>
  <si>
    <t>CRITERIOS DE ACEPTACION</t>
  </si>
  <si>
    <t>0 - 2.9</t>
  </si>
  <si>
    <t>Regular</t>
  </si>
  <si>
    <t>3.0 - 4.0</t>
  </si>
  <si>
    <t>4.1 - 5</t>
  </si>
  <si>
    <t>IMPORTACIONES Y REPRESENTACIONES LEON EIRL</t>
  </si>
  <si>
    <t>Energia electrica</t>
  </si>
  <si>
    <t>Tela de algodón jersey, piquet</t>
  </si>
  <si>
    <t>ETIQUETAS ZALAQUETT DEL PERU S.A.C.</t>
  </si>
  <si>
    <t>Etiquetas, cintas, cartones</t>
  </si>
  <si>
    <t>PLASTIGESA E.I.R.L</t>
  </si>
  <si>
    <t xml:space="preserve">Bolsas de plastico </t>
  </si>
  <si>
    <t xml:space="preserve">Hilos, Repuestos, aujas, fajas de maquinas de costura </t>
  </si>
  <si>
    <r>
      <t xml:space="preserve">EXCELENTE
</t>
    </r>
    <r>
      <rPr>
        <b/>
        <sz val="12"/>
        <color rgb="FF0070C0"/>
        <rFont val="Arial"/>
        <family val="2"/>
      </rPr>
      <t>(4.1 A 5)</t>
    </r>
    <r>
      <rPr>
        <b/>
        <sz val="12"/>
        <color theme="1"/>
        <rFont val="Arial"/>
        <family val="2"/>
      </rPr>
      <t xml:space="preserve">
BUENO 
</t>
    </r>
    <r>
      <rPr>
        <b/>
        <sz val="12"/>
        <color rgb="FF0070C0"/>
        <rFont val="Arial"/>
        <family val="2"/>
      </rPr>
      <t xml:space="preserve">(3,0 a 4) </t>
    </r>
    <r>
      <rPr>
        <b/>
        <sz val="12"/>
        <color theme="1"/>
        <rFont val="Arial"/>
        <family val="2"/>
      </rPr>
      <t xml:space="preserve"> 
MALO
</t>
    </r>
    <r>
      <rPr>
        <b/>
        <sz val="12"/>
        <color rgb="FF0070C0"/>
        <rFont val="Arial"/>
        <family val="2"/>
      </rPr>
      <t>(0 a 2,9)</t>
    </r>
    <r>
      <rPr>
        <b/>
        <sz val="12"/>
        <color theme="1"/>
        <rFont val="Arial"/>
        <family val="2"/>
      </rPr>
      <t xml:space="preserve"> </t>
    </r>
  </si>
  <si>
    <t>DESDE</t>
  </si>
  <si>
    <t>HASTA</t>
  </si>
  <si>
    <t>Agua potable</t>
  </si>
  <si>
    <t>SOCIEDAD ELECTRICA DEL SUR OESTE S A</t>
  </si>
  <si>
    <t>INCALPACA TEXTILES PERUANOS DE EXPORT SA</t>
  </si>
  <si>
    <t>SEDAPAR S.A.</t>
  </si>
  <si>
    <t>IMPORTACIONES Y NEGOCIACIONES TONY E.I.R.L.</t>
  </si>
  <si>
    <t>OXFORD MEDICAL GROUP S.A.C.</t>
  </si>
  <si>
    <t>PAZ LABORATORIOS S.R.L.</t>
  </si>
  <si>
    <t>SGS DEL PERU S.A.C.</t>
  </si>
  <si>
    <t>Servicios de examen medico ocupacional</t>
  </si>
  <si>
    <t>Servicios de Monitoreo Salud Ocupacional</t>
  </si>
  <si>
    <t>Servicios de Certificacion</t>
  </si>
  <si>
    <t>OMCAR SOLUTIONS E.I.R.L</t>
  </si>
  <si>
    <t>Venta de ropa de trabajo</t>
  </si>
  <si>
    <t>Ultima revisión: 17-08-2024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</si>
</sst>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.0"/>
  </numFmts>
  <fonts count="12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1"/>
      <name val="Arial"/>
      <family val="2"/>
    </font>
    <font>
      <b/>
      <sz val="12"/>
      <color rgb="FF0070C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theme="2" tint="-0.14999847407452621"/>
        <bgColor rgb="FFA5A5A5"/>
      </patternFill>
    </fill>
    <fill>
      <patternFill patternType="solid">
        <fgColor theme="6" tint="0.59999389629810485"/>
        <bgColor rgb="FFA5A5A5"/>
      </patternFill>
    </fill>
    <fill>
      <patternFill patternType="solid">
        <fgColor theme="6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2" borderId="1" xfId="0" applyFont="1" applyFill="1" applyBorder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3" xfId="0" applyFont="1" applyBorder="1"/>
    <xf numFmtId="0" fontId="1" fillId="0" borderId="9" xfId="0" applyFont="1" applyBorder="1"/>
    <xf numFmtId="16" fontId="1" fillId="0" borderId="5" xfId="0" applyNumberFormat="1" applyFont="1" applyBorder="1" applyAlignment="1">
      <alignment horizontal="center" vertical="center"/>
    </xf>
    <xf numFmtId="16" fontId="1" fillId="0" borderId="9" xfId="0" applyNumberFormat="1" applyFont="1" applyBorder="1"/>
    <xf numFmtId="0" fontId="5" fillId="3" borderId="13" xfId="0" applyFont="1" applyFill="1" applyBorder="1" applyAlignment="1">
      <alignment horizontal="center" vertical="center" textRotation="90" wrapText="1"/>
    </xf>
    <xf numFmtId="0" fontId="5" fillId="3" borderId="7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2" fillId="3" borderId="18" xfId="0" applyFont="1" applyFill="1" applyBorder="1" applyAlignment="1">
      <alignment horizontal="center" vertical="center"/>
    </xf>
    <xf numFmtId="9" fontId="2" fillId="5" borderId="24" xfId="0" applyNumberFormat="1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2" fillId="3" borderId="11" xfId="0" applyFont="1" applyFill="1" applyBorder="1" applyAlignment="1">
      <alignment horizontal="center" vertical="center" wrapText="1"/>
    </xf>
    <xf numFmtId="0" fontId="4" fillId="0" borderId="11" xfId="0" applyFont="1" applyBorder="1"/>
    <xf numFmtId="0" fontId="4" fillId="0" borderId="1" xfId="0" applyFont="1" applyBorder="1"/>
    <xf numFmtId="0" fontId="0" fillId="0" borderId="1" xfId="0" applyBorder="1"/>
    <xf numFmtId="0" fontId="2" fillId="6" borderId="11" xfId="0" applyFont="1" applyFill="1" applyBorder="1" applyAlignment="1">
      <alignment horizontal="center" vertical="center" textRotation="90"/>
    </xf>
    <xf numFmtId="0" fontId="4" fillId="7" borderId="8" xfId="0" applyFont="1" applyFill="1" applyBorder="1"/>
    <xf numFmtId="0" fontId="2" fillId="3" borderId="19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9" xfId="0" applyFont="1" applyBorder="1"/>
    <xf numFmtId="0" fontId="2" fillId="0" borderId="2" xfId="0" applyFont="1" applyBorder="1" applyAlignment="1">
      <alignment horizontal="center" vertical="center" textRotation="90"/>
    </xf>
    <xf numFmtId="0" fontId="4" fillId="0" borderId="6" xfId="0" applyFont="1" applyBorder="1"/>
    <xf numFmtId="0" fontId="4" fillId="0" borderId="7" xfId="0" applyFont="1" applyBorder="1"/>
    <xf numFmtId="0" fontId="2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/>
    <xf numFmtId="0" fontId="1" fillId="0" borderId="1" xfId="0" applyFont="1" applyBorder="1" applyAlignment="1">
      <alignment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vertical="center" wrapText="1"/>
    </xf>
    <xf numFmtId="0" fontId="10" fillId="0" borderId="31" xfId="0" applyFont="1" applyBorder="1"/>
    <xf numFmtId="164" fontId="9" fillId="4" borderId="31" xfId="0" applyNumberFormat="1" applyFont="1" applyFill="1" applyBorder="1" applyAlignment="1">
      <alignment horizontal="left" vertical="center" wrapText="1"/>
    </xf>
    <xf numFmtId="0" fontId="10" fillId="0" borderId="31" xfId="0" applyFont="1" applyBorder="1" applyAlignment="1">
      <alignment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left" vertical="center" wrapText="1"/>
    </xf>
    <xf numFmtId="0" fontId="9" fillId="4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9" fontId="2" fillId="5" borderId="24" xfId="0" applyNumberFormat="1" applyFont="1" applyFill="1" applyBorder="1" applyAlignment="1">
      <alignment horizontal="center" vertical="center" textRotation="90"/>
    </xf>
    <xf numFmtId="9" fontId="2" fillId="5" borderId="2" xfId="0" applyNumberFormat="1" applyFont="1" applyFill="1" applyBorder="1" applyAlignment="1">
      <alignment horizontal="center" vertical="center" textRotation="90" wrapText="1"/>
    </xf>
    <xf numFmtId="9" fontId="2" fillId="5" borderId="2" xfId="0" applyNumberFormat="1" applyFont="1" applyFill="1" applyBorder="1" applyAlignment="1">
      <alignment horizontal="center" vertical="center" textRotation="90"/>
    </xf>
    <xf numFmtId="9" fontId="2" fillId="5" borderId="32" xfId="0" applyNumberFormat="1" applyFont="1" applyFill="1" applyBorder="1" applyAlignment="1">
      <alignment horizontal="center" vertical="center" textRotation="90"/>
    </xf>
    <xf numFmtId="9" fontId="2" fillId="6" borderId="33" xfId="0" applyNumberFormat="1" applyFont="1" applyFill="1" applyBorder="1" applyAlignment="1">
      <alignment horizontal="center" vertical="center" textRotation="90"/>
    </xf>
    <xf numFmtId="164" fontId="1" fillId="4" borderId="31" xfId="0" applyNumberFormat="1" applyFont="1" applyFill="1" applyBorder="1" applyAlignment="1">
      <alignment horizontal="center" vertical="center" wrapText="1"/>
    </xf>
    <xf numFmtId="1" fontId="1" fillId="0" borderId="31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" fontId="1" fillId="0" borderId="31" xfId="0" applyNumberFormat="1" applyFont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left" vertical="center" wrapText="1"/>
    </xf>
    <xf numFmtId="0" fontId="9" fillId="4" borderId="34" xfId="0" applyFont="1" applyFill="1" applyBorder="1" applyAlignment="1">
      <alignment vertical="center" wrapText="1"/>
    </xf>
    <xf numFmtId="164" fontId="1" fillId="4" borderId="34" xfId="0" applyNumberFormat="1" applyFont="1" applyFill="1" applyBorder="1" applyAlignment="1">
      <alignment horizontal="center" vertical="center" wrapText="1"/>
    </xf>
    <xf numFmtId="1" fontId="1" fillId="0" borderId="34" xfId="0" applyNumberFormat="1" applyFont="1" applyBorder="1" applyAlignment="1">
      <alignment horizontal="center" vertical="center"/>
    </xf>
    <xf numFmtId="165" fontId="1" fillId="0" borderId="34" xfId="0" applyNumberFormat="1" applyFont="1" applyBorder="1" applyAlignment="1">
      <alignment horizontal="center" vertical="center"/>
    </xf>
    <xf numFmtId="1" fontId="1" fillId="0" borderId="26" xfId="0" applyNumberFormat="1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/>
    </xf>
    <xf numFmtId="0" fontId="9" fillId="0" borderId="35" xfId="0" applyFont="1" applyBorder="1" applyAlignment="1">
      <alignment horizontal="left" vertical="center" wrapText="1"/>
    </xf>
    <xf numFmtId="0" fontId="10" fillId="0" borderId="35" xfId="0" applyFont="1" applyBorder="1" applyAlignment="1">
      <alignment vertical="center"/>
    </xf>
    <xf numFmtId="164" fontId="1" fillId="4" borderId="35" xfId="0" applyNumberFormat="1" applyFont="1" applyFill="1" applyBorder="1" applyAlignment="1">
      <alignment horizontal="center" vertical="center" wrapText="1"/>
    </xf>
    <xf numFmtId="1" fontId="1" fillId="0" borderId="35" xfId="0" applyNumberFormat="1" applyFont="1" applyBorder="1" applyAlignment="1">
      <alignment horizontal="center" vertical="center"/>
    </xf>
    <xf numFmtId="165" fontId="1" fillId="0" borderId="35" xfId="0" applyNumberFormat="1" applyFont="1" applyBorder="1" applyAlignment="1">
      <alignment horizontal="center" vertical="center"/>
    </xf>
    <xf numFmtId="1" fontId="1" fillId="0" borderId="30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419100</xdr:colOff>
      <xdr:row>1</xdr:row>
      <xdr:rowOff>19050</xdr:rowOff>
    </xdr:from>
    <xdr:ext cx="9728835" cy="1114425"/>
    <xdr:grpSp>
      <xdr:nvGrpSpPr>
        <xdr:cNvPr id="2" name="Shape 2" title="Dibuj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28700" y="194310"/>
          <a:ext cx="9728835" cy="1114425"/>
          <a:chOff x="1893188" y="3318038"/>
          <a:chExt cx="6905625" cy="9239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893188" y="3318038"/>
            <a:ext cx="6905625" cy="923925"/>
            <a:chOff x="0" y="0"/>
            <a:chExt cx="7618672" cy="1194158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0" y="0"/>
              <a:ext cx="7618650" cy="11941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5989570" y="26275"/>
              <a:ext cx="1530569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PD-FOR-007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cxnSp macro="">
          <xdr:nvCxn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CxnSpPr/>
          </xdr:nvCxnSpPr>
          <xdr:spPr>
            <a:xfrm>
              <a:off x="0" y="1194158"/>
              <a:ext cx="7603434" cy="0"/>
            </a:xfrm>
            <a:prstGeom prst="straightConnector1">
              <a:avLst/>
            </a:prstGeom>
            <a:noFill/>
            <a:ln w="381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010793" y="0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254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5010793" y="386053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254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9" name="Shape 9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5010793" y="772107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254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5083053" y="19706"/>
              <a:ext cx="729155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Código: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5056777" y="405759"/>
              <a:ext cx="775138" cy="298724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Versión: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5063347" y="791113"/>
              <a:ext cx="913086" cy="294086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F. Aprob.: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3" name="Shape 13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 txBox="1"/>
          </xdr:nvSpPr>
          <xdr:spPr>
            <a:xfrm>
              <a:off x="5983001" y="418897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002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5976432" y="798381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25/12/2022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 txBox="1"/>
          </xdr:nvSpPr>
          <xdr:spPr>
            <a:xfrm>
              <a:off x="2315289" y="11979"/>
              <a:ext cx="2651409" cy="109903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EVALUACIÓN Y REEVALUACIÓN DE PROVEEDORES</a:t>
              </a:r>
              <a:endParaRPr sz="14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</xdr:grpSp>
    </xdr:grpSp>
    <xdr:clientData fLocksWithSheet="0"/>
  </xdr:oneCellAnchor>
  <xdr:twoCellAnchor>
    <xdr:from>
      <xdr:col>1</xdr:col>
      <xdr:colOff>380999</xdr:colOff>
      <xdr:row>0</xdr:row>
      <xdr:rowOff>114300</xdr:rowOff>
    </xdr:from>
    <xdr:to>
      <xdr:col>3</xdr:col>
      <xdr:colOff>769620</xdr:colOff>
      <xdr:row>7</xdr:row>
      <xdr:rowOff>30479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67C391E6-0CCE-4598-A416-55CF667CF2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72" r="9242"/>
        <a:stretch/>
      </xdr:blipFill>
      <xdr:spPr bwMode="auto">
        <a:xfrm>
          <a:off x="990599" y="114300"/>
          <a:ext cx="2590801" cy="1142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6"/>
  <sheetViews>
    <sheetView showGridLines="0" tabSelected="1" workbookViewId="0">
      <selection activeCell="L4" sqref="L4"/>
    </sheetView>
  </sheetViews>
  <sheetFormatPr baseColWidth="10" defaultColWidth="14.44140625" defaultRowHeight="15" customHeight="1" x14ac:dyDescent="0.3"/>
  <cols>
    <col min="1" max="1" width="8.88671875" customWidth="1"/>
    <col min="2" max="2" width="22" customWidth="1"/>
    <col min="3" max="3" width="10.109375" customWidth="1"/>
    <col min="4" max="4" width="25" customWidth="1"/>
    <col min="5" max="5" width="38.6640625" customWidth="1"/>
    <col min="6" max="7" width="16.77734375" customWidth="1"/>
    <col min="8" max="14" width="7.33203125" customWidth="1"/>
    <col min="15" max="15" width="11.88671875" customWidth="1"/>
    <col min="16" max="16" width="18.109375" customWidth="1"/>
    <col min="17" max="27" width="11.44140625" customWidth="1"/>
  </cols>
  <sheetData>
    <row r="1" spans="1:27" ht="14.25" customHeight="1" x14ac:dyDescent="0.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4.25" customHeight="1" x14ac:dyDescent="0.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4.25" customHeight="1" x14ac:dyDescent="0.3">
      <c r="A3" s="1"/>
      <c r="B3" s="1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4.25" customHeight="1" x14ac:dyDescent="0.3">
      <c r="A4" s="1"/>
      <c r="B4" s="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4.25" customHeight="1" x14ac:dyDescent="0.3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5"/>
      <c r="O5" s="5"/>
      <c r="P5" s="5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4.25" customHeight="1" x14ac:dyDescent="0.3">
      <c r="A6" s="1"/>
      <c r="B6" s="1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4.2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43.2" customHeight="1" thickBot="1" x14ac:dyDescent="0.35">
      <c r="A8" s="6"/>
      <c r="B8" s="83" t="s">
        <v>63</v>
      </c>
      <c r="C8" s="83"/>
      <c r="D8" s="83"/>
      <c r="E8" s="6"/>
      <c r="F8" s="6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38.25" customHeight="1" thickBot="1" x14ac:dyDescent="0.35">
      <c r="A9" s="19" t="s">
        <v>0</v>
      </c>
      <c r="B9" s="21" t="s">
        <v>1</v>
      </c>
      <c r="C9" s="22"/>
      <c r="D9" s="22"/>
      <c r="E9" s="19" t="s">
        <v>2</v>
      </c>
      <c r="F9" s="31" t="s">
        <v>3</v>
      </c>
      <c r="G9" s="32"/>
      <c r="H9" s="28" t="s">
        <v>4</v>
      </c>
      <c r="I9" s="29"/>
      <c r="J9" s="29"/>
      <c r="K9" s="29"/>
      <c r="L9" s="29"/>
      <c r="M9" s="29"/>
      <c r="N9" s="30"/>
      <c r="O9" s="25" t="s">
        <v>5</v>
      </c>
      <c r="P9" s="17" t="s">
        <v>6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85.5" customHeight="1" x14ac:dyDescent="0.3">
      <c r="A10" s="20"/>
      <c r="B10" s="23"/>
      <c r="C10" s="24"/>
      <c r="D10" s="23"/>
      <c r="E10" s="20"/>
      <c r="F10" s="33"/>
      <c r="G10" s="34"/>
      <c r="H10" s="14" t="s">
        <v>7</v>
      </c>
      <c r="I10" s="15" t="s">
        <v>8</v>
      </c>
      <c r="J10" s="15" t="s">
        <v>9</v>
      </c>
      <c r="K10" s="15" t="s">
        <v>10</v>
      </c>
      <c r="L10" s="15" t="s">
        <v>11</v>
      </c>
      <c r="M10" s="15" t="s">
        <v>12</v>
      </c>
      <c r="N10" s="16" t="s">
        <v>13</v>
      </c>
      <c r="O10" s="26"/>
      <c r="P10" s="27" t="s">
        <v>47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34.5" customHeight="1" thickBot="1" x14ac:dyDescent="0.35">
      <c r="A11" s="20"/>
      <c r="B11" s="23"/>
      <c r="C11" s="23"/>
      <c r="D11" s="23"/>
      <c r="E11" s="20"/>
      <c r="F11" s="18" t="s">
        <v>48</v>
      </c>
      <c r="G11" s="18" t="s">
        <v>49</v>
      </c>
      <c r="H11" s="59">
        <v>0.2</v>
      </c>
      <c r="I11" s="60">
        <v>0.15</v>
      </c>
      <c r="J11" s="60">
        <v>0.1</v>
      </c>
      <c r="K11" s="61">
        <v>0.1</v>
      </c>
      <c r="L11" s="61">
        <v>0.15</v>
      </c>
      <c r="M11" s="61">
        <v>0.15</v>
      </c>
      <c r="N11" s="62">
        <v>0.15</v>
      </c>
      <c r="O11" s="63">
        <f>SUM(H11:N11)</f>
        <v>1</v>
      </c>
      <c r="P11" s="20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30" customHeight="1" x14ac:dyDescent="0.3">
      <c r="A12" s="68">
        <v>1</v>
      </c>
      <c r="B12" s="69" t="s">
        <v>16</v>
      </c>
      <c r="C12" s="69"/>
      <c r="D12" s="69"/>
      <c r="E12" s="70" t="s">
        <v>17</v>
      </c>
      <c r="F12" s="71">
        <v>45287</v>
      </c>
      <c r="G12" s="71">
        <v>45521</v>
      </c>
      <c r="H12" s="72">
        <v>5</v>
      </c>
      <c r="I12" s="72">
        <v>3</v>
      </c>
      <c r="J12" s="72">
        <v>5</v>
      </c>
      <c r="K12" s="72">
        <v>5</v>
      </c>
      <c r="L12" s="72">
        <v>3</v>
      </c>
      <c r="M12" s="72">
        <v>3</v>
      </c>
      <c r="N12" s="72">
        <v>5</v>
      </c>
      <c r="O12" s="73">
        <f t="shared" ref="O12" si="0">(H12*H$11)+(I12*I$11)+(J12*J$11)+(K12*K$11)+(L12*L$11)+(M12*M$11)+(N12*$N$11)</f>
        <v>4.1000000000000005</v>
      </c>
      <c r="P12" s="74" t="str">
        <f>IF(O12=0,"",IF(O12&gt;=4.1,"EXCELENTE",IF(O12&gt;=3,"BUENO",IF(O12&lt;2.9,"MALO"))))</f>
        <v>EXCELENTE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30" customHeight="1" x14ac:dyDescent="0.3">
      <c r="A13" s="50">
        <v>2</v>
      </c>
      <c r="B13" s="51" t="s">
        <v>39</v>
      </c>
      <c r="C13" s="52"/>
      <c r="D13" s="52"/>
      <c r="E13" s="57" t="s">
        <v>46</v>
      </c>
      <c r="F13" s="64">
        <v>45287</v>
      </c>
      <c r="G13" s="64">
        <v>45521</v>
      </c>
      <c r="H13" s="65">
        <v>5</v>
      </c>
      <c r="I13" s="65">
        <v>3</v>
      </c>
      <c r="J13" s="65">
        <v>3</v>
      </c>
      <c r="K13" s="65">
        <v>3</v>
      </c>
      <c r="L13" s="65">
        <v>3</v>
      </c>
      <c r="M13" s="65">
        <v>5</v>
      </c>
      <c r="N13" s="65">
        <v>5</v>
      </c>
      <c r="O13" s="66">
        <f>(H13*H$11)+(I13*I$11)+(J13*J$11)+(K13*K$11)+(L13*L$11)+(M13*M$11)+(N13*$N$11)</f>
        <v>4</v>
      </c>
      <c r="P13" s="75" t="str">
        <f t="shared" ref="P13:P22" si="1">IF(O13=0,"",IF(O13&gt;=4.1,"EXCELENTE",IF(O13&gt;=3,"BUENO",IF(O13&lt;2.9,"MALO"))))</f>
        <v>BUENO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30" customHeight="1" x14ac:dyDescent="0.3">
      <c r="A14" s="50">
        <v>3</v>
      </c>
      <c r="B14" s="51" t="s">
        <v>14</v>
      </c>
      <c r="C14" s="52"/>
      <c r="D14" s="52"/>
      <c r="E14" s="57" t="s">
        <v>15</v>
      </c>
      <c r="F14" s="64">
        <v>45287</v>
      </c>
      <c r="G14" s="64">
        <v>45521</v>
      </c>
      <c r="H14" s="65">
        <v>3</v>
      </c>
      <c r="I14" s="65">
        <v>3</v>
      </c>
      <c r="J14" s="65">
        <v>3</v>
      </c>
      <c r="K14" s="65">
        <v>5</v>
      </c>
      <c r="L14" s="65">
        <v>5</v>
      </c>
      <c r="M14" s="65">
        <v>3</v>
      </c>
      <c r="N14" s="65">
        <v>5</v>
      </c>
      <c r="O14" s="66">
        <f>(H14*H$11)+(I14*I$11)+(J14*J$11)+(K14*K$11)+(L14*L$11)+(M14*M$11)+(N14*$N$11)</f>
        <v>3.8</v>
      </c>
      <c r="P14" s="75" t="str">
        <f t="shared" si="1"/>
        <v>BUENO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30" customHeight="1" x14ac:dyDescent="0.3">
      <c r="A15" s="50">
        <v>4</v>
      </c>
      <c r="B15" s="53" t="s">
        <v>18</v>
      </c>
      <c r="C15" s="53"/>
      <c r="D15" s="53"/>
      <c r="E15" s="58" t="s">
        <v>19</v>
      </c>
      <c r="F15" s="64">
        <v>45287</v>
      </c>
      <c r="G15" s="64">
        <v>45521</v>
      </c>
      <c r="H15" s="67">
        <v>3</v>
      </c>
      <c r="I15" s="67">
        <v>3</v>
      </c>
      <c r="J15" s="65">
        <v>3</v>
      </c>
      <c r="K15" s="65">
        <v>5</v>
      </c>
      <c r="L15" s="65">
        <v>5</v>
      </c>
      <c r="M15" s="65">
        <v>3</v>
      </c>
      <c r="N15" s="65">
        <v>5</v>
      </c>
      <c r="O15" s="66">
        <f t="shared" ref="O15:O22" si="2">(H15*H$11)+(I15*I$11)+(J15*J$11)+(K15*K$11)+(L15*L$11)+(M15*M$11)+(N15*$N$11)</f>
        <v>3.8</v>
      </c>
      <c r="P15" s="75" t="str">
        <f t="shared" si="1"/>
        <v>BUENO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30" customHeight="1" x14ac:dyDescent="0.3">
      <c r="A16" s="50">
        <v>5</v>
      </c>
      <c r="B16" s="53" t="s">
        <v>51</v>
      </c>
      <c r="C16" s="52"/>
      <c r="D16" s="52"/>
      <c r="E16" s="58" t="s">
        <v>40</v>
      </c>
      <c r="F16" s="64">
        <v>45287</v>
      </c>
      <c r="G16" s="64">
        <v>45521</v>
      </c>
      <c r="H16" s="67">
        <v>3</v>
      </c>
      <c r="I16" s="67">
        <v>3</v>
      </c>
      <c r="J16" s="65">
        <v>1</v>
      </c>
      <c r="K16" s="65">
        <v>3</v>
      </c>
      <c r="L16" s="65">
        <v>3</v>
      </c>
      <c r="M16" s="65">
        <v>3</v>
      </c>
      <c r="N16" s="65">
        <v>5</v>
      </c>
      <c r="O16" s="66">
        <f t="shared" si="2"/>
        <v>3.1</v>
      </c>
      <c r="P16" s="75" t="str">
        <f t="shared" si="1"/>
        <v>BUENO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0" customHeight="1" x14ac:dyDescent="0.3">
      <c r="A17" s="50">
        <v>6</v>
      </c>
      <c r="B17" s="53" t="s">
        <v>20</v>
      </c>
      <c r="C17" s="52"/>
      <c r="D17" s="52"/>
      <c r="E17" s="58" t="s">
        <v>21</v>
      </c>
      <c r="F17" s="64">
        <v>45287</v>
      </c>
      <c r="G17" s="64">
        <v>45521</v>
      </c>
      <c r="H17" s="67">
        <v>5</v>
      </c>
      <c r="I17" s="67">
        <v>3</v>
      </c>
      <c r="J17" s="65">
        <v>3</v>
      </c>
      <c r="K17" s="65">
        <v>3</v>
      </c>
      <c r="L17" s="65">
        <v>3</v>
      </c>
      <c r="M17" s="65">
        <v>5</v>
      </c>
      <c r="N17" s="65">
        <v>5</v>
      </c>
      <c r="O17" s="66">
        <f t="shared" si="2"/>
        <v>4</v>
      </c>
      <c r="P17" s="75" t="str">
        <f t="shared" si="1"/>
        <v>BUENO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0" customHeight="1" x14ac:dyDescent="0.3">
      <c r="A18" s="50">
        <v>7</v>
      </c>
      <c r="B18" s="53" t="s">
        <v>52</v>
      </c>
      <c r="C18" s="52"/>
      <c r="D18" s="52"/>
      <c r="E18" s="58" t="s">
        <v>41</v>
      </c>
      <c r="F18" s="64">
        <v>45287</v>
      </c>
      <c r="G18" s="64">
        <v>45521</v>
      </c>
      <c r="H18" s="67">
        <v>3</v>
      </c>
      <c r="I18" s="67">
        <v>5</v>
      </c>
      <c r="J18" s="65">
        <v>3</v>
      </c>
      <c r="K18" s="65">
        <v>3</v>
      </c>
      <c r="L18" s="65">
        <v>3</v>
      </c>
      <c r="M18" s="65">
        <v>5</v>
      </c>
      <c r="N18" s="65">
        <v>5</v>
      </c>
      <c r="O18" s="66">
        <f t="shared" si="2"/>
        <v>3.9000000000000004</v>
      </c>
      <c r="P18" s="75" t="str">
        <f t="shared" si="1"/>
        <v>BUENO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0" customHeight="1" x14ac:dyDescent="0.3">
      <c r="A19" s="50">
        <v>8</v>
      </c>
      <c r="B19" s="53" t="s">
        <v>24</v>
      </c>
      <c r="C19" s="52"/>
      <c r="D19" s="52"/>
      <c r="E19" s="58" t="s">
        <v>25</v>
      </c>
      <c r="F19" s="64">
        <v>45287</v>
      </c>
      <c r="G19" s="64">
        <v>45521</v>
      </c>
      <c r="H19" s="67">
        <v>5</v>
      </c>
      <c r="I19" s="67">
        <v>3</v>
      </c>
      <c r="J19" s="65">
        <v>3</v>
      </c>
      <c r="K19" s="65">
        <v>3</v>
      </c>
      <c r="L19" s="65">
        <v>3</v>
      </c>
      <c r="M19" s="65">
        <v>5</v>
      </c>
      <c r="N19" s="65">
        <v>5</v>
      </c>
      <c r="O19" s="66">
        <f t="shared" si="2"/>
        <v>4</v>
      </c>
      <c r="P19" s="75" t="str">
        <f t="shared" si="1"/>
        <v>BUENO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30" customHeight="1" x14ac:dyDescent="0.3">
      <c r="A20" s="50">
        <v>9</v>
      </c>
      <c r="B20" s="53" t="s">
        <v>26</v>
      </c>
      <c r="C20" s="52"/>
      <c r="D20" s="52"/>
      <c r="E20" s="58" t="s">
        <v>27</v>
      </c>
      <c r="F20" s="64">
        <v>45287</v>
      </c>
      <c r="G20" s="64">
        <v>45521</v>
      </c>
      <c r="H20" s="65">
        <v>3</v>
      </c>
      <c r="I20" s="65">
        <v>3</v>
      </c>
      <c r="J20" s="65">
        <v>5</v>
      </c>
      <c r="K20" s="65">
        <v>3</v>
      </c>
      <c r="L20" s="65">
        <v>5</v>
      </c>
      <c r="M20" s="65">
        <v>4</v>
      </c>
      <c r="N20" s="65">
        <v>5</v>
      </c>
      <c r="O20" s="66">
        <f t="shared" si="2"/>
        <v>3.95</v>
      </c>
      <c r="P20" s="75" t="str">
        <f t="shared" si="1"/>
        <v>BUENO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30" customHeight="1" x14ac:dyDescent="0.3">
      <c r="A21" s="50">
        <v>10</v>
      </c>
      <c r="B21" s="53" t="s">
        <v>42</v>
      </c>
      <c r="C21" s="52"/>
      <c r="D21" s="52"/>
      <c r="E21" s="58" t="s">
        <v>43</v>
      </c>
      <c r="F21" s="64">
        <v>45287</v>
      </c>
      <c r="G21" s="64">
        <v>45521</v>
      </c>
      <c r="H21" s="67">
        <v>3</v>
      </c>
      <c r="I21" s="67">
        <v>3</v>
      </c>
      <c r="J21" s="65">
        <v>3</v>
      </c>
      <c r="K21" s="65">
        <v>3</v>
      </c>
      <c r="L21" s="65">
        <v>5</v>
      </c>
      <c r="M21" s="65">
        <v>3</v>
      </c>
      <c r="N21" s="65">
        <v>5</v>
      </c>
      <c r="O21" s="66">
        <f t="shared" si="2"/>
        <v>3.6000000000000005</v>
      </c>
      <c r="P21" s="75" t="str">
        <f t="shared" si="1"/>
        <v>BUENO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30" customHeight="1" x14ac:dyDescent="0.3">
      <c r="A22" s="50">
        <v>11</v>
      </c>
      <c r="B22" s="53" t="s">
        <v>22</v>
      </c>
      <c r="C22" s="52"/>
      <c r="D22" s="52"/>
      <c r="E22" s="58" t="s">
        <v>23</v>
      </c>
      <c r="F22" s="64">
        <v>45287</v>
      </c>
      <c r="G22" s="64">
        <v>45521</v>
      </c>
      <c r="H22" s="67">
        <v>5</v>
      </c>
      <c r="I22" s="67">
        <v>3</v>
      </c>
      <c r="J22" s="65">
        <v>3</v>
      </c>
      <c r="K22" s="65">
        <v>3</v>
      </c>
      <c r="L22" s="65">
        <v>3</v>
      </c>
      <c r="M22" s="65">
        <v>5</v>
      </c>
      <c r="N22" s="65">
        <v>5</v>
      </c>
      <c r="O22" s="66">
        <f t="shared" si="2"/>
        <v>4</v>
      </c>
      <c r="P22" s="75" t="str">
        <f t="shared" si="1"/>
        <v>BUENO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0" customHeight="1" x14ac:dyDescent="0.3">
      <c r="A23" s="50">
        <v>12</v>
      </c>
      <c r="B23" s="53" t="s">
        <v>44</v>
      </c>
      <c r="C23" s="52"/>
      <c r="D23" s="52"/>
      <c r="E23" s="58" t="s">
        <v>45</v>
      </c>
      <c r="F23" s="64">
        <v>45287</v>
      </c>
      <c r="G23" s="64">
        <v>45521</v>
      </c>
      <c r="H23" s="67">
        <v>3</v>
      </c>
      <c r="I23" s="67">
        <v>3</v>
      </c>
      <c r="J23" s="65">
        <v>3</v>
      </c>
      <c r="K23" s="65">
        <v>3</v>
      </c>
      <c r="L23" s="65">
        <v>3</v>
      </c>
      <c r="M23" s="65">
        <v>3</v>
      </c>
      <c r="N23" s="65">
        <v>5</v>
      </c>
      <c r="O23" s="66">
        <f>(H23*H$11)+(I23*I$11)+(J23*J$11)+(K23*K$11)+(L23*L$11)+(M23*M$11)+(N23*$N$11)</f>
        <v>3.3</v>
      </c>
      <c r="P23" s="75" t="str">
        <f>IF(O23=0,"",IF(O23&gt;=4.1,"EXCELENTE",IF(O23&gt;=3,"BUENO",IF(O23&lt;2.9,"MALO"))))</f>
        <v>BUENO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30" customHeight="1" x14ac:dyDescent="0.3">
      <c r="A24" s="50">
        <v>13</v>
      </c>
      <c r="B24" s="53" t="s">
        <v>53</v>
      </c>
      <c r="C24" s="52"/>
      <c r="D24" s="52"/>
      <c r="E24" s="58" t="s">
        <v>50</v>
      </c>
      <c r="F24" s="64">
        <v>45287</v>
      </c>
      <c r="G24" s="64">
        <v>45521</v>
      </c>
      <c r="H24" s="67">
        <v>3</v>
      </c>
      <c r="I24" s="67">
        <v>3</v>
      </c>
      <c r="J24" s="65">
        <v>1</v>
      </c>
      <c r="K24" s="65">
        <v>3</v>
      </c>
      <c r="L24" s="65">
        <v>3</v>
      </c>
      <c r="M24" s="65">
        <v>3</v>
      </c>
      <c r="N24" s="65">
        <v>5</v>
      </c>
      <c r="O24" s="66">
        <f>(H24*H$11)+(I24*I$11)+(J24*J$11)+(K24*K$11)+(L24*L$11)+(M24*M$11)+(N24*$N$11)</f>
        <v>3.1</v>
      </c>
      <c r="P24" s="75" t="str">
        <f>IF(O24=0,"",IF(O24&gt;=4.1,"EXCELENTE",IF(O24&gt;=3,"BUENO",IF(O24&lt;2.9,"MALO"))))</f>
        <v>BUENO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30" customHeight="1" x14ac:dyDescent="0.3">
      <c r="A25" s="50">
        <v>14</v>
      </c>
      <c r="B25" s="54" t="s">
        <v>54</v>
      </c>
      <c r="C25" s="55"/>
      <c r="D25" s="54"/>
      <c r="E25" s="54" t="s">
        <v>15</v>
      </c>
      <c r="F25" s="64">
        <v>45287</v>
      </c>
      <c r="G25" s="64">
        <v>45521</v>
      </c>
      <c r="H25" s="67">
        <v>5</v>
      </c>
      <c r="I25" s="67">
        <v>3</v>
      </c>
      <c r="J25" s="65">
        <v>3</v>
      </c>
      <c r="K25" s="65">
        <v>3</v>
      </c>
      <c r="L25" s="65">
        <v>3</v>
      </c>
      <c r="M25" s="65">
        <v>5</v>
      </c>
      <c r="N25" s="65">
        <v>5</v>
      </c>
      <c r="O25" s="66">
        <f t="shared" ref="O25:O28" si="3">(H25*H$11)+(I25*I$11)+(J25*J$11)+(K25*K$11)+(L25*L$11)+(M25*M$11)+(N25*$N$11)</f>
        <v>4</v>
      </c>
      <c r="P25" s="75" t="str">
        <f t="shared" ref="P25:P29" si="4">IF(O25=0,"",IF(O25&gt;=4.1,"EXCELENTE",IF(O25&gt;=3,"BUENO",IF(O25&lt;2.9,"MALO"))))</f>
        <v>BUENO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30" customHeight="1" x14ac:dyDescent="0.3">
      <c r="A26" s="50">
        <v>15</v>
      </c>
      <c r="B26" s="56" t="s">
        <v>55</v>
      </c>
      <c r="C26" s="56"/>
      <c r="D26" s="56"/>
      <c r="E26" s="54" t="s">
        <v>58</v>
      </c>
      <c r="F26" s="64">
        <v>45287</v>
      </c>
      <c r="G26" s="64">
        <v>45521</v>
      </c>
      <c r="H26" s="67">
        <v>3</v>
      </c>
      <c r="I26" s="67">
        <v>5</v>
      </c>
      <c r="J26" s="65">
        <v>3</v>
      </c>
      <c r="K26" s="65">
        <v>3</v>
      </c>
      <c r="L26" s="65">
        <v>3</v>
      </c>
      <c r="M26" s="65">
        <v>5</v>
      </c>
      <c r="N26" s="65">
        <v>5</v>
      </c>
      <c r="O26" s="66">
        <f t="shared" si="3"/>
        <v>3.9000000000000004</v>
      </c>
      <c r="P26" s="75" t="str">
        <f t="shared" si="4"/>
        <v>BUENO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30" customHeight="1" x14ac:dyDescent="0.3">
      <c r="A27" s="50">
        <v>16</v>
      </c>
      <c r="B27" s="56" t="s">
        <v>56</v>
      </c>
      <c r="C27" s="56"/>
      <c r="D27" s="56"/>
      <c r="E27" s="54" t="s">
        <v>59</v>
      </c>
      <c r="F27" s="64">
        <v>45287</v>
      </c>
      <c r="G27" s="64">
        <v>45521</v>
      </c>
      <c r="H27" s="67">
        <v>5</v>
      </c>
      <c r="I27" s="67">
        <v>3</v>
      </c>
      <c r="J27" s="65">
        <v>3</v>
      </c>
      <c r="K27" s="65">
        <v>3</v>
      </c>
      <c r="L27" s="65">
        <v>3</v>
      </c>
      <c r="M27" s="65">
        <v>5</v>
      </c>
      <c r="N27" s="65">
        <v>5</v>
      </c>
      <c r="O27" s="66">
        <f t="shared" si="3"/>
        <v>4</v>
      </c>
      <c r="P27" s="75" t="str">
        <f t="shared" si="4"/>
        <v>BUENO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30" customHeight="1" x14ac:dyDescent="0.3">
      <c r="A28" s="50">
        <v>17</v>
      </c>
      <c r="B28" s="56" t="s">
        <v>57</v>
      </c>
      <c r="C28" s="56"/>
      <c r="D28" s="56"/>
      <c r="E28" s="54" t="s">
        <v>60</v>
      </c>
      <c r="F28" s="64">
        <v>45287</v>
      </c>
      <c r="G28" s="64">
        <v>45521</v>
      </c>
      <c r="H28" s="65">
        <v>3</v>
      </c>
      <c r="I28" s="65">
        <v>3</v>
      </c>
      <c r="J28" s="65">
        <v>5</v>
      </c>
      <c r="K28" s="65">
        <v>3</v>
      </c>
      <c r="L28" s="65">
        <v>5</v>
      </c>
      <c r="M28" s="65">
        <v>4</v>
      </c>
      <c r="N28" s="65">
        <v>5</v>
      </c>
      <c r="O28" s="66">
        <f t="shared" si="3"/>
        <v>3.95</v>
      </c>
      <c r="P28" s="75" t="str">
        <f t="shared" si="4"/>
        <v>BUENO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30" customHeight="1" thickBot="1" x14ac:dyDescent="0.35">
      <c r="A29" s="76">
        <v>18</v>
      </c>
      <c r="B29" s="77" t="s">
        <v>61</v>
      </c>
      <c r="C29" s="77"/>
      <c r="D29" s="77"/>
      <c r="E29" s="78" t="s">
        <v>62</v>
      </c>
      <c r="F29" s="79">
        <v>45287</v>
      </c>
      <c r="G29" s="79">
        <v>45521</v>
      </c>
      <c r="H29" s="80">
        <v>3</v>
      </c>
      <c r="I29" s="80">
        <v>3</v>
      </c>
      <c r="J29" s="80">
        <v>5</v>
      </c>
      <c r="K29" s="80">
        <v>3</v>
      </c>
      <c r="L29" s="80">
        <v>5</v>
      </c>
      <c r="M29" s="80">
        <v>4</v>
      </c>
      <c r="N29" s="80">
        <v>5</v>
      </c>
      <c r="O29" s="81">
        <f t="shared" ref="O29" si="5">(H29*H$11)+(I29*I$11)+(J29*J$11)+(K29*K$11)+(L29*L$11)+(M29*M$11)+(N29*$N$11)</f>
        <v>3.95</v>
      </c>
      <c r="P29" s="82" t="str">
        <f t="shared" si="4"/>
        <v>BUENO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30" customHeight="1" x14ac:dyDescent="0.3">
      <c r="A30" s="42"/>
      <c r="B30" s="43"/>
      <c r="C30" s="44"/>
      <c r="D30" s="44"/>
      <c r="E30" s="45"/>
      <c r="F30" s="46"/>
      <c r="G30" s="46"/>
      <c r="H30" s="47"/>
      <c r="I30" s="47"/>
      <c r="J30" s="48"/>
      <c r="K30" s="48"/>
      <c r="L30" s="48"/>
      <c r="M30" s="48"/>
      <c r="N30" s="48"/>
      <c r="O30" s="49"/>
      <c r="P30" s="47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8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8" customHeight="1" x14ac:dyDescent="0.3">
      <c r="A32" s="35" t="s">
        <v>28</v>
      </c>
      <c r="B32" s="36"/>
      <c r="C32" s="36"/>
      <c r="D32" s="3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7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3">
      <c r="A33" s="7"/>
      <c r="B33" s="7"/>
      <c r="C33" s="7"/>
      <c r="D33" s="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7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6.5" customHeight="1" x14ac:dyDescent="0.3">
      <c r="A34" s="38" t="s">
        <v>29</v>
      </c>
      <c r="B34" s="41" t="s">
        <v>30</v>
      </c>
      <c r="C34" s="36"/>
      <c r="D34" s="37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7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3">
      <c r="A35" s="39"/>
      <c r="B35" s="9">
        <v>1</v>
      </c>
      <c r="C35" s="10" t="s">
        <v>31</v>
      </c>
      <c r="D35" s="1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7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3">
      <c r="A36" s="39"/>
      <c r="B36" s="9">
        <v>3</v>
      </c>
      <c r="C36" s="10" t="s">
        <v>32</v>
      </c>
      <c r="D36" s="1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7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3">
      <c r="A37" s="39"/>
      <c r="B37" s="9">
        <v>5</v>
      </c>
      <c r="C37" s="10" t="s">
        <v>33</v>
      </c>
      <c r="D37" s="1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7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3">
      <c r="A38" s="39"/>
      <c r="B38" s="41" t="s">
        <v>34</v>
      </c>
      <c r="C38" s="36"/>
      <c r="D38" s="3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7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3">
      <c r="A39" s="39"/>
      <c r="B39" s="9" t="s">
        <v>35</v>
      </c>
      <c r="C39" s="10" t="s">
        <v>36</v>
      </c>
      <c r="D39" s="1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7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3">
      <c r="A40" s="39"/>
      <c r="B40" s="12" t="s">
        <v>37</v>
      </c>
      <c r="C40" s="10" t="s">
        <v>32</v>
      </c>
      <c r="D40" s="1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7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3">
      <c r="A41" s="40"/>
      <c r="B41" s="9" t="s">
        <v>38</v>
      </c>
      <c r="C41" s="10" t="s">
        <v>33</v>
      </c>
      <c r="D41" s="1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7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3">
      <c r="A42" s="7"/>
      <c r="B42" s="7"/>
      <c r="C42" s="7"/>
      <c r="D42" s="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7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7" ht="29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8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7" ht="29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7" ht="29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8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7" ht="29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8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7" ht="29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8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7" ht="28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8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7" ht="32.25" customHeight="1" x14ac:dyDescent="0.3">
      <c r="A50" s="1"/>
      <c r="B50" s="1"/>
      <c r="C50" s="7"/>
      <c r="D50" s="7"/>
      <c r="E50" s="7"/>
      <c r="F50" s="7"/>
      <c r="G50" s="7"/>
      <c r="H50" s="7"/>
      <c r="I50" s="7"/>
      <c r="J50" s="7"/>
      <c r="K50" s="7"/>
      <c r="L50" s="8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7" ht="14.2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4.2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4.2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4.2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4.2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4.25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4.25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</sheetData>
  <mergeCells count="29">
    <mergeCell ref="B28:D28"/>
    <mergeCell ref="B29:D29"/>
    <mergeCell ref="B8:D8"/>
    <mergeCell ref="A32:D32"/>
    <mergeCell ref="A34:A41"/>
    <mergeCell ref="B23:D23"/>
    <mergeCell ref="B38:D38"/>
    <mergeCell ref="B15:D15"/>
    <mergeCell ref="B16:D16"/>
    <mergeCell ref="B17:D17"/>
    <mergeCell ref="B18:D18"/>
    <mergeCell ref="B34:D34"/>
    <mergeCell ref="B19:D19"/>
    <mergeCell ref="B20:D20"/>
    <mergeCell ref="B21:D21"/>
    <mergeCell ref="B22:D22"/>
    <mergeCell ref="B24:D24"/>
    <mergeCell ref="B26:D26"/>
    <mergeCell ref="B27:D27"/>
    <mergeCell ref="B12:D12"/>
    <mergeCell ref="B14:D14"/>
    <mergeCell ref="B13:D13"/>
    <mergeCell ref="H9:N9"/>
    <mergeCell ref="F9:G10"/>
    <mergeCell ref="A9:A11"/>
    <mergeCell ref="B9:D11"/>
    <mergeCell ref="E9:E11"/>
    <mergeCell ref="O9:O10"/>
    <mergeCell ref="P10:P11"/>
  </mergeCells>
  <conditionalFormatting sqref="P12:P22">
    <cfRule type="cellIs" dxfId="11" priority="10" operator="equal">
      <formula>"EXCELENTE"</formula>
    </cfRule>
    <cfRule type="cellIs" dxfId="10" priority="11" operator="equal">
      <formula>"MALO"</formula>
    </cfRule>
    <cfRule type="cellIs" dxfId="9" priority="12" operator="equal">
      <formula>"BUENO"</formula>
    </cfRule>
  </conditionalFormatting>
  <conditionalFormatting sqref="P23">
    <cfRule type="cellIs" dxfId="8" priority="7" operator="equal">
      <formula>"EXCELENTE"</formula>
    </cfRule>
    <cfRule type="cellIs" dxfId="7" priority="8" operator="equal">
      <formula>"MALO"</formula>
    </cfRule>
    <cfRule type="cellIs" dxfId="6" priority="9" operator="equal">
      <formula>"BUENO"</formula>
    </cfRule>
  </conditionalFormatting>
  <conditionalFormatting sqref="P24:P28 P30">
    <cfRule type="cellIs" dxfId="5" priority="4" operator="equal">
      <formula>"EXCELENTE"</formula>
    </cfRule>
    <cfRule type="cellIs" dxfId="4" priority="5" operator="equal">
      <formula>"MALO"</formula>
    </cfRule>
    <cfRule type="cellIs" dxfId="3" priority="6" operator="equal">
      <formula>"BUENO"</formula>
    </cfRule>
  </conditionalFormatting>
  <conditionalFormatting sqref="P29">
    <cfRule type="cellIs" dxfId="2" priority="1" operator="equal">
      <formula>"EXCELENTE"</formula>
    </cfRule>
    <cfRule type="cellIs" dxfId="1" priority="2" operator="equal">
      <formula>"MALO"</formula>
    </cfRule>
    <cfRule type="cellIs" dxfId="0" priority="3" operator="equal">
      <formula>"BUENO"</formula>
    </cfRule>
  </conditionalFormatting>
  <printOptions horizontalCentered="1"/>
  <pageMargins left="0.51181102362204722" right="0.51181102362204722" top="0.62992125984251968" bottom="0.4724409448818898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F3D9-5929-48F6-8D71-AA05C0CC797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Evaluacion al 27-12-2022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Coayla Mendoza</dc:creator>
  <cp:lastModifiedBy>User</cp:lastModifiedBy>
  <dcterms:created xsi:type="dcterms:W3CDTF">2011-02-21T23:04:51Z</dcterms:created>
  <dcterms:modified xsi:type="dcterms:W3CDTF">2024-09-16T04:22:53Z</dcterms:modified>
</cp:coreProperties>
</file>