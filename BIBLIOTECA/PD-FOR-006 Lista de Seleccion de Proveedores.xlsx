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D8BEEAA3-9D88-498D-9355-366D1FEF3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5" roundtripDataChecksum="WcB4H1Emhn8tdtvyj77qP5HOVv8DGAps/0eljFLhRpU="/>
    </ext>
  </extLst>
</workbook>
</file>

<file path=xl/calcChain.xml><?xml version="1.0" encoding="utf-8"?>
<calcChain xmlns="http://schemas.openxmlformats.org/spreadsheetml/2006/main">
  <c r="N21" i="1" l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0" i="1"/>
  <c r="O10" i="1" s="1"/>
  <c r="N9" i="1"/>
</calcChain>
</file>

<file path=xl/sharedStrings.xml><?xml version="1.0" encoding="utf-8"?>
<sst xmlns="http://schemas.openxmlformats.org/spreadsheetml/2006/main" count="43" uniqueCount="33">
  <si>
    <t>Item</t>
  </si>
  <si>
    <t>Producto o Servicio</t>
  </si>
  <si>
    <t>Precio referencial</t>
  </si>
  <si>
    <t>Proveedor potencial</t>
  </si>
  <si>
    <t>Observaciones</t>
  </si>
  <si>
    <t>CRITERIOS DE SELECCIÓN</t>
  </si>
  <si>
    <t>CALIFICACIÓN</t>
  </si>
  <si>
    <t>RESULTADO</t>
  </si>
  <si>
    <t xml:space="preserve">Disponibilidad </t>
  </si>
  <si>
    <t>Precio</t>
  </si>
  <si>
    <t>Confiabilidad</t>
  </si>
  <si>
    <t>Facilidades de Pago</t>
  </si>
  <si>
    <t>Documentacion requerida</t>
  </si>
  <si>
    <t xml:space="preserve">APROBADO 
(3,0 a 5)  
RECHAZADO 
(0 a 2,9) </t>
  </si>
  <si>
    <t>N°</t>
  </si>
  <si>
    <t>Nombre del Proveedor</t>
  </si>
  <si>
    <t>RUC</t>
  </si>
  <si>
    <t>Tela</t>
  </si>
  <si>
    <t>P1:</t>
  </si>
  <si>
    <t>Insumos Peru</t>
  </si>
  <si>
    <t>Lima</t>
  </si>
  <si>
    <t>P2:</t>
  </si>
  <si>
    <t>P3:</t>
  </si>
  <si>
    <t>SELECCIÓN</t>
  </si>
  <si>
    <t>PUNTUACIÓN</t>
  </si>
  <si>
    <t>No aceptable</t>
  </si>
  <si>
    <t>Bueno</t>
  </si>
  <si>
    <t>Excelente</t>
  </si>
  <si>
    <t>CRITERIOS DE ACEPTACIÓN</t>
  </si>
  <si>
    <t>0 - 2.9</t>
  </si>
  <si>
    <t>Rechazado</t>
  </si>
  <si>
    <t>3.0 - 5.0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</si>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</sst>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#,##0.00;[Red]\-&quot;S/&quot;#,##0.00"/>
    <numFmt numFmtId="165" formatCode="d/m/yyyy"/>
    <numFmt numFmtId="166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entury Gothic"/>
      <family val="2"/>
    </font>
    <font>
      <sz val="1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textRotation="90"/>
    </xf>
    <xf numFmtId="0" fontId="6" fillId="2" borderId="18" xfId="0" applyFont="1" applyFill="1" applyBorder="1" applyAlignment="1">
      <alignment horizontal="center" vertical="center" textRotation="90"/>
    </xf>
    <xf numFmtId="0" fontId="6" fillId="2" borderId="19" xfId="0" applyFont="1" applyFill="1" applyBorder="1" applyAlignment="1">
      <alignment horizontal="center" vertical="center" textRotation="90"/>
    </xf>
    <xf numFmtId="0" fontId="6" fillId="2" borderId="10" xfId="0" applyFont="1" applyFill="1" applyBorder="1" applyAlignment="1">
      <alignment horizontal="center" vertical="center" textRotation="90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9" fontId="2" fillId="2" borderId="24" xfId="0" applyNumberFormat="1" applyFont="1" applyFill="1" applyBorder="1" applyAlignment="1">
      <alignment horizontal="center" vertical="center" textRotation="90"/>
    </xf>
    <xf numFmtId="9" fontId="2" fillId="2" borderId="24" xfId="0" applyNumberFormat="1" applyFont="1" applyFill="1" applyBorder="1" applyAlignment="1">
      <alignment horizontal="center" vertical="center" textRotation="90" wrapText="1"/>
    </xf>
    <xf numFmtId="0" fontId="6" fillId="3" borderId="30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vertical="center"/>
    </xf>
    <xf numFmtId="0" fontId="7" fillId="3" borderId="31" xfId="0" applyFont="1" applyFill="1" applyBorder="1" applyAlignment="1">
      <alignment vertical="center" wrapText="1"/>
    </xf>
    <xf numFmtId="165" fontId="6" fillId="3" borderId="31" xfId="0" applyNumberFormat="1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166" fontId="6" fillId="0" borderId="3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166" fontId="6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vertical="center"/>
    </xf>
    <xf numFmtId="0" fontId="9" fillId="0" borderId="38" xfId="0" applyFont="1" applyBorder="1" applyAlignment="1">
      <alignment vertical="center" wrapText="1"/>
    </xf>
    <xf numFmtId="0" fontId="6" fillId="0" borderId="38" xfId="0" applyFont="1" applyBorder="1" applyAlignment="1">
      <alignment horizontal="right" vertical="center" wrapText="1"/>
    </xf>
    <xf numFmtId="0" fontId="6" fillId="0" borderId="38" xfId="0" applyFont="1" applyBorder="1" applyAlignment="1">
      <alignment horizontal="center" vertical="center" wrapText="1"/>
    </xf>
    <xf numFmtId="166" fontId="6" fillId="0" borderId="38" xfId="0" applyNumberFormat="1" applyFont="1" applyBorder="1" applyAlignment="1">
      <alignment horizontal="center" vertical="center"/>
    </xf>
    <xf numFmtId="1" fontId="6" fillId="0" borderId="39" xfId="0" applyNumberFormat="1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0" fontId="6" fillId="0" borderId="31" xfId="0" applyFont="1" applyBorder="1" applyAlignment="1">
      <alignment horizontal="right" vertical="center" wrapText="1"/>
    </xf>
    <xf numFmtId="0" fontId="6" fillId="0" borderId="31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" fontId="6" fillId="0" borderId="40" xfId="0" applyNumberFormat="1" applyFont="1" applyBorder="1" applyAlignment="1">
      <alignment horizontal="center" vertical="center" wrapText="1"/>
    </xf>
    <xf numFmtId="1" fontId="6" fillId="0" borderId="41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17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22" xfId="0" applyFont="1" applyBorder="1"/>
    <xf numFmtId="0" fontId="5" fillId="0" borderId="5" xfId="0" applyFont="1" applyBorder="1"/>
    <xf numFmtId="0" fontId="5" fillId="0" borderId="16" xfId="0" applyFont="1" applyBorder="1"/>
    <xf numFmtId="0" fontId="5" fillId="0" borderId="25" xfId="0" applyFont="1" applyBorder="1"/>
    <xf numFmtId="0" fontId="2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2" fillId="2" borderId="9" xfId="0" applyFont="1" applyFill="1" applyBorder="1" applyAlignment="1">
      <alignment horizontal="center" vertical="center" textRotation="90"/>
    </xf>
    <xf numFmtId="0" fontId="5" fillId="0" borderId="2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21" xfId="0" applyFont="1" applyBorder="1"/>
    <xf numFmtId="0" fontId="6" fillId="3" borderId="26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0" borderId="34" xfId="0" applyFont="1" applyBorder="1"/>
    <xf numFmtId="0" fontId="6" fillId="3" borderId="27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35" xfId="0" applyFont="1" applyBorder="1"/>
    <xf numFmtId="0" fontId="5" fillId="0" borderId="36" xfId="0" applyFont="1" applyBorder="1"/>
    <xf numFmtId="164" fontId="6" fillId="3" borderId="29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textRotation="90"/>
    </xf>
    <xf numFmtId="0" fontId="5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666750</xdr:colOff>
      <xdr:row>0</xdr:row>
      <xdr:rowOff>114300</xdr:rowOff>
    </xdr:from>
    <xdr:ext cx="6896100" cy="1095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929890" y="114300"/>
          <a:ext cx="6896100" cy="1095375"/>
          <a:chOff x="1897950" y="3232313"/>
          <a:chExt cx="6896100" cy="10953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7950" y="3232313"/>
            <a:ext cx="6896100" cy="1095375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PD-PRO-006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10/08/2021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LISTA DE SELECCION DE PROVEEDORES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</xdr:grpSp>
    </xdr:grpSp>
    <xdr:clientData fLocksWithSheet="0"/>
  </xdr:oneCellAnchor>
  <xdr:twoCellAnchor>
    <xdr:from>
      <xdr:col>1</xdr:col>
      <xdr:colOff>426720</xdr:colOff>
      <xdr:row>0</xdr:row>
      <xdr:rowOff>30480</xdr:rowOff>
    </xdr:from>
    <xdr:to>
      <xdr:col>4</xdr:col>
      <xdr:colOff>672909</xdr:colOff>
      <xdr:row>5</xdr:row>
      <xdr:rowOff>30479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6A5D3D8-80EE-4050-99AF-CF5E646C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98220" y="30480"/>
          <a:ext cx="324084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K4" sqref="K4"/>
    </sheetView>
  </sheetViews>
  <sheetFormatPr baseColWidth="10" defaultColWidth="14.44140625" defaultRowHeight="15" customHeight="1" x14ac:dyDescent="0.3"/>
  <cols>
    <col min="1" max="1" width="8.33203125" customWidth="1"/>
    <col min="2" max="3" width="12.33203125" customWidth="1"/>
    <col min="4" max="4" width="19" customWidth="1"/>
    <col min="5" max="5" width="10.109375" customWidth="1"/>
    <col min="6" max="6" width="33" customWidth="1"/>
    <col min="7" max="7" width="38.6640625" customWidth="1"/>
    <col min="8" max="8" width="19.88671875" customWidth="1"/>
    <col min="9" max="13" width="7.33203125" customWidth="1"/>
    <col min="14" max="14" width="13" customWidth="1"/>
    <col min="15" max="15" width="16.44140625" customWidth="1"/>
    <col min="16" max="26" width="11.44140625" customWidth="1"/>
  </cols>
  <sheetData>
    <row r="1" spans="1:26" ht="19.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8.25" customHeight="1" x14ac:dyDescent="0.3">
      <c r="A7" s="63" t="s">
        <v>0</v>
      </c>
      <c r="B7" s="46" t="s">
        <v>1</v>
      </c>
      <c r="C7" s="47"/>
      <c r="D7" s="52" t="s">
        <v>2</v>
      </c>
      <c r="E7" s="46" t="s">
        <v>3</v>
      </c>
      <c r="F7" s="55"/>
      <c r="G7" s="47"/>
      <c r="H7" s="52" t="s">
        <v>4</v>
      </c>
      <c r="I7" s="58" t="s">
        <v>5</v>
      </c>
      <c r="J7" s="59"/>
      <c r="K7" s="59"/>
      <c r="L7" s="59"/>
      <c r="M7" s="60"/>
      <c r="N7" s="61" t="s">
        <v>6</v>
      </c>
      <c r="O7" s="6" t="s">
        <v>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85.5" customHeight="1" x14ac:dyDescent="0.3">
      <c r="A8" s="64"/>
      <c r="B8" s="48"/>
      <c r="C8" s="49"/>
      <c r="D8" s="53"/>
      <c r="E8" s="50"/>
      <c r="F8" s="56"/>
      <c r="G8" s="51"/>
      <c r="H8" s="53"/>
      <c r="I8" s="7" t="s">
        <v>8</v>
      </c>
      <c r="J8" s="8" t="s">
        <v>9</v>
      </c>
      <c r="K8" s="9" t="s">
        <v>10</v>
      </c>
      <c r="L8" s="10" t="s">
        <v>11</v>
      </c>
      <c r="M8" s="10" t="s">
        <v>12</v>
      </c>
      <c r="N8" s="62"/>
      <c r="O8" s="52" t="s">
        <v>13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4.5" customHeight="1" x14ac:dyDescent="0.3">
      <c r="A9" s="65"/>
      <c r="B9" s="50"/>
      <c r="C9" s="51"/>
      <c r="D9" s="54"/>
      <c r="E9" s="11" t="s">
        <v>14</v>
      </c>
      <c r="F9" s="12" t="s">
        <v>15</v>
      </c>
      <c r="G9" s="12" t="s">
        <v>16</v>
      </c>
      <c r="H9" s="57"/>
      <c r="I9" s="13">
        <v>0.2</v>
      </c>
      <c r="J9" s="13">
        <v>0.25</v>
      </c>
      <c r="K9" s="13">
        <v>0.2</v>
      </c>
      <c r="L9" s="14">
        <v>0.2</v>
      </c>
      <c r="M9" s="14">
        <v>0.15</v>
      </c>
      <c r="N9" s="13">
        <f>SUM(I9:M9)</f>
        <v>1</v>
      </c>
      <c r="O9" s="5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3">
      <c r="A10" s="66">
        <v>1</v>
      </c>
      <c r="B10" s="69" t="s">
        <v>17</v>
      </c>
      <c r="C10" s="70"/>
      <c r="D10" s="73">
        <v>42</v>
      </c>
      <c r="E10" s="15" t="s">
        <v>18</v>
      </c>
      <c r="F10" s="16" t="s">
        <v>19</v>
      </c>
      <c r="G10" s="17">
        <v>2020202525</v>
      </c>
      <c r="H10" s="18" t="s">
        <v>20</v>
      </c>
      <c r="I10" s="19">
        <v>3</v>
      </c>
      <c r="J10" s="19">
        <v>3</v>
      </c>
      <c r="K10" s="19">
        <v>3</v>
      </c>
      <c r="L10" s="19">
        <v>3</v>
      </c>
      <c r="M10" s="19">
        <v>3</v>
      </c>
      <c r="N10" s="20">
        <f>(I10*I$9)+(J10*J$9)+(K10*K$9)+(L10*L$9)+(M10*M$9)</f>
        <v>3</v>
      </c>
      <c r="O10" s="21" t="str">
        <f>IF(N10=0,"",IF(N10&gt;=3,("APROBADO"),(" RECHAZADO")))</f>
        <v>APROBADO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3">
      <c r="A11" s="67"/>
      <c r="B11" s="48"/>
      <c r="C11" s="49"/>
      <c r="D11" s="53"/>
      <c r="E11" s="22" t="s">
        <v>21</v>
      </c>
      <c r="F11" s="23"/>
      <c r="G11" s="24"/>
      <c r="H11" s="25"/>
      <c r="I11" s="26"/>
      <c r="J11" s="26"/>
      <c r="K11" s="26"/>
      <c r="L11" s="26"/>
      <c r="M11" s="26"/>
      <c r="N11" s="27"/>
      <c r="O11" s="2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3">
      <c r="A12" s="68"/>
      <c r="B12" s="71"/>
      <c r="C12" s="72"/>
      <c r="D12" s="54"/>
      <c r="E12" s="29" t="s">
        <v>22</v>
      </c>
      <c r="F12" s="30"/>
      <c r="G12" s="31"/>
      <c r="H12" s="32"/>
      <c r="I12" s="33"/>
      <c r="J12" s="33"/>
      <c r="K12" s="33"/>
      <c r="L12" s="33"/>
      <c r="M12" s="33"/>
      <c r="N12" s="34"/>
      <c r="O12" s="3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3">
      <c r="A13" s="66">
        <v>2</v>
      </c>
      <c r="B13" s="69"/>
      <c r="C13" s="70"/>
      <c r="D13" s="74"/>
      <c r="E13" s="15" t="s">
        <v>18</v>
      </c>
      <c r="F13" s="16"/>
      <c r="G13" s="36"/>
      <c r="H13" s="37"/>
      <c r="I13" s="38"/>
      <c r="J13" s="38"/>
      <c r="K13" s="38"/>
      <c r="L13" s="38"/>
      <c r="M13" s="38"/>
      <c r="N13" s="20">
        <f t="shared" ref="N13:N21" si="0">(I13*I$9)+(J13*J$9)+(K13*K$9)+(L13*L$9)+(M13*M$9)</f>
        <v>0</v>
      </c>
      <c r="O13" s="21" t="str">
        <f t="shared" ref="O13:O21" si="1">IF(N13=0,"",IF(N13&gt;=3,("APROBADO"),(" RECHAZADO")))</f>
        <v/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3">
      <c r="A14" s="67"/>
      <c r="B14" s="48"/>
      <c r="C14" s="49"/>
      <c r="D14" s="53"/>
      <c r="E14" s="22" t="s">
        <v>21</v>
      </c>
      <c r="F14" s="23"/>
      <c r="G14" s="39"/>
      <c r="H14" s="25"/>
      <c r="I14" s="26"/>
      <c r="J14" s="26"/>
      <c r="K14" s="26"/>
      <c r="L14" s="26"/>
      <c r="M14" s="26"/>
      <c r="N14" s="27">
        <f t="shared" si="0"/>
        <v>0</v>
      </c>
      <c r="O14" s="28" t="str">
        <f t="shared" si="1"/>
        <v/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3">
      <c r="A15" s="68"/>
      <c r="B15" s="71"/>
      <c r="C15" s="72"/>
      <c r="D15" s="54"/>
      <c r="E15" s="29" t="s">
        <v>22</v>
      </c>
      <c r="F15" s="30"/>
      <c r="G15" s="31"/>
      <c r="H15" s="32"/>
      <c r="I15" s="33"/>
      <c r="J15" s="33"/>
      <c r="K15" s="33"/>
      <c r="L15" s="33"/>
      <c r="M15" s="33"/>
      <c r="N15" s="34">
        <f t="shared" si="0"/>
        <v>0</v>
      </c>
      <c r="O15" s="35" t="str">
        <f t="shared" si="1"/>
        <v/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customHeight="1" x14ac:dyDescent="0.3">
      <c r="A16" s="66">
        <v>3</v>
      </c>
      <c r="B16" s="69"/>
      <c r="C16" s="70"/>
      <c r="D16" s="74"/>
      <c r="E16" s="15" t="s">
        <v>18</v>
      </c>
      <c r="F16" s="16"/>
      <c r="G16" s="36"/>
      <c r="H16" s="37"/>
      <c r="I16" s="38"/>
      <c r="J16" s="38"/>
      <c r="K16" s="38"/>
      <c r="L16" s="38"/>
      <c r="M16" s="38"/>
      <c r="N16" s="20">
        <f t="shared" si="0"/>
        <v>0</v>
      </c>
      <c r="O16" s="21" t="str">
        <f t="shared" si="1"/>
        <v/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" customHeight="1" x14ac:dyDescent="0.3">
      <c r="A17" s="67"/>
      <c r="B17" s="48"/>
      <c r="C17" s="49"/>
      <c r="D17" s="53"/>
      <c r="E17" s="22" t="s">
        <v>21</v>
      </c>
      <c r="F17" s="23"/>
      <c r="G17" s="39"/>
      <c r="H17" s="25"/>
      <c r="I17" s="26"/>
      <c r="J17" s="26"/>
      <c r="K17" s="26"/>
      <c r="L17" s="26"/>
      <c r="M17" s="26"/>
      <c r="N17" s="27">
        <f t="shared" si="0"/>
        <v>0</v>
      </c>
      <c r="O17" s="28" t="str">
        <f t="shared" si="1"/>
        <v/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 x14ac:dyDescent="0.3">
      <c r="A18" s="68"/>
      <c r="B18" s="71"/>
      <c r="C18" s="72"/>
      <c r="D18" s="54"/>
      <c r="E18" s="29" t="s">
        <v>22</v>
      </c>
      <c r="F18" s="30"/>
      <c r="G18" s="31"/>
      <c r="H18" s="32"/>
      <c r="I18" s="33"/>
      <c r="J18" s="33"/>
      <c r="K18" s="33"/>
      <c r="L18" s="33"/>
      <c r="M18" s="33"/>
      <c r="N18" s="34">
        <f t="shared" si="0"/>
        <v>0</v>
      </c>
      <c r="O18" s="35" t="str">
        <f t="shared" si="1"/>
        <v/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 x14ac:dyDescent="0.3">
      <c r="A19" s="66">
        <v>4</v>
      </c>
      <c r="B19" s="69"/>
      <c r="C19" s="70"/>
      <c r="D19" s="74"/>
      <c r="E19" s="15" t="s">
        <v>18</v>
      </c>
      <c r="F19" s="16"/>
      <c r="G19" s="36"/>
      <c r="H19" s="37"/>
      <c r="I19" s="38"/>
      <c r="J19" s="38"/>
      <c r="K19" s="38"/>
      <c r="L19" s="38"/>
      <c r="M19" s="38"/>
      <c r="N19" s="20">
        <f t="shared" si="0"/>
        <v>0</v>
      </c>
      <c r="O19" s="21" t="str">
        <f t="shared" si="1"/>
        <v/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 x14ac:dyDescent="0.3">
      <c r="A20" s="67"/>
      <c r="B20" s="48"/>
      <c r="C20" s="49"/>
      <c r="D20" s="53"/>
      <c r="E20" s="22" t="s">
        <v>21</v>
      </c>
      <c r="F20" s="23"/>
      <c r="G20" s="39"/>
      <c r="H20" s="25"/>
      <c r="I20" s="26"/>
      <c r="J20" s="26"/>
      <c r="K20" s="26"/>
      <c r="L20" s="26"/>
      <c r="M20" s="26"/>
      <c r="N20" s="27">
        <f t="shared" si="0"/>
        <v>0</v>
      </c>
      <c r="O20" s="40" t="str">
        <f t="shared" si="1"/>
        <v/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 x14ac:dyDescent="0.3">
      <c r="A21" s="68"/>
      <c r="B21" s="71"/>
      <c r="C21" s="72"/>
      <c r="D21" s="54"/>
      <c r="E21" s="29" t="s">
        <v>22</v>
      </c>
      <c r="F21" s="30"/>
      <c r="G21" s="31"/>
      <c r="H21" s="32"/>
      <c r="I21" s="33"/>
      <c r="J21" s="33"/>
      <c r="K21" s="33"/>
      <c r="L21" s="33"/>
      <c r="M21" s="33"/>
      <c r="N21" s="34">
        <f t="shared" si="0"/>
        <v>0</v>
      </c>
      <c r="O21" s="41" t="str">
        <f t="shared" si="1"/>
        <v/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6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 x14ac:dyDescent="0.3">
      <c r="A24" s="75" t="s">
        <v>5</v>
      </c>
      <c r="B24" s="59"/>
      <c r="C24" s="6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3">
      <c r="A25" s="42"/>
      <c r="B25" s="42"/>
      <c r="C25" s="4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76" t="s">
        <v>23</v>
      </c>
      <c r="B26" s="58" t="s">
        <v>24</v>
      </c>
      <c r="C26" s="6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3">
      <c r="A27" s="53"/>
      <c r="B27" s="43">
        <v>1</v>
      </c>
      <c r="C27" s="44" t="s">
        <v>25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3">
      <c r="A28" s="53"/>
      <c r="B28" s="43">
        <v>3</v>
      </c>
      <c r="C28" s="44" t="s">
        <v>26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3">
      <c r="A29" s="53"/>
      <c r="B29" s="43">
        <v>5</v>
      </c>
      <c r="C29" s="44" t="s">
        <v>27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3">
      <c r="A30" s="53"/>
      <c r="B30" s="58" t="s">
        <v>28</v>
      </c>
      <c r="C30" s="6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3">
      <c r="A31" s="53"/>
      <c r="B31" s="43" t="s">
        <v>29</v>
      </c>
      <c r="C31" s="45" t="s">
        <v>30</v>
      </c>
      <c r="G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3">
      <c r="A32" s="77"/>
      <c r="B32" s="43" t="s">
        <v>31</v>
      </c>
      <c r="C32" s="45" t="s">
        <v>32</v>
      </c>
      <c r="G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3">
      <c r="A33" s="42"/>
      <c r="B33" s="42"/>
      <c r="C33" s="42"/>
      <c r="G33" s="4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8.5" customHeight="1" x14ac:dyDescent="0.3">
      <c r="A34" s="42"/>
      <c r="B34" s="42"/>
      <c r="C34" s="42"/>
      <c r="D34" s="42"/>
      <c r="E34" s="42"/>
      <c r="F34" s="42"/>
      <c r="G34" s="4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2.25" customHeight="1" x14ac:dyDescent="0.3">
      <c r="A35" s="42"/>
      <c r="B35" s="42"/>
      <c r="C35" s="42"/>
      <c r="D35" s="42"/>
      <c r="E35" s="42"/>
      <c r="F35" s="42"/>
      <c r="G35" s="4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4">
    <mergeCell ref="A13:A15"/>
    <mergeCell ref="B13:C15"/>
    <mergeCell ref="D13:D15"/>
    <mergeCell ref="A24:C24"/>
    <mergeCell ref="B26:C26"/>
    <mergeCell ref="A16:A18"/>
    <mergeCell ref="B16:C18"/>
    <mergeCell ref="D16:D18"/>
    <mergeCell ref="A19:A21"/>
    <mergeCell ref="B19:C21"/>
    <mergeCell ref="D19:D21"/>
    <mergeCell ref="A26:A32"/>
    <mergeCell ref="B30:C30"/>
    <mergeCell ref="N7:N8"/>
    <mergeCell ref="O8:O9"/>
    <mergeCell ref="A7:A9"/>
    <mergeCell ref="A10:A12"/>
    <mergeCell ref="B10:C12"/>
    <mergeCell ref="D10:D12"/>
    <mergeCell ref="B7:C9"/>
    <mergeCell ref="D7:D9"/>
    <mergeCell ref="E7:G8"/>
    <mergeCell ref="H7:H9"/>
    <mergeCell ref="I7:M7"/>
  </mergeCells>
  <printOptions horizontalCentered="1"/>
  <pageMargins left="0.51181102362204722" right="0.51181102362204722" top="0.62992125984251968" bottom="0.4724409448818898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EQUIPO</cp:lastModifiedBy>
  <cp:lastPrinted>2024-08-07T00:21:56Z</cp:lastPrinted>
  <dcterms:created xsi:type="dcterms:W3CDTF">2011-02-21T23:04:51Z</dcterms:created>
  <dcterms:modified xsi:type="dcterms:W3CDTF">2024-08-07T00:22:31Z</dcterms:modified>
</cp:coreProperties>
</file>