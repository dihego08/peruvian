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ser\Desktop\SIG 2024\"/>
    </mc:Choice>
  </mc:AlternateContent>
  <xr:revisionPtr revIDLastSave="0" documentId="13_ncr:1_{4FB8A382-AC27-4071-9F46-5E145FED4308}" xr6:coauthVersionLast="47" xr6:coauthVersionMax="47" xr10:uidLastSave="{00000000-0000-0000-0000-000000000000}"/>
  <bookViews>
    <workbookView xWindow="-108" yWindow="-108" windowWidth="23256" windowHeight="12456" tabRatio="700" activeTab="1" xr2:uid="{00000000-000D-0000-FFFF-FFFF00000000}"/>
  </bookViews>
  <sheets>
    <sheet name="ADMINISTRATIVO" sheetId="2" r:id="rId1"/>
    <sheet name="MANTENIMIENTO" sheetId="3" r:id="rId2"/>
    <sheet name="CORTE" sheetId="4" r:id="rId3"/>
    <sheet name="CONFECCION" sheetId="5" r:id="rId4"/>
    <sheet name="METODO EVALUACION DE RIESGOS" sheetId="6" r:id="rId5"/>
  </sheets>
  <definedNames>
    <definedName name="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" roundtripDataChecksum="KVxte2USchc/ugO7tgN1Cd7XaBtdHUz3HBS/cYS7oHU="/>
    </ext>
  </extLst>
</workbook>
</file>

<file path=xl/calcChain.xml><?xml version="1.0" encoding="utf-8"?>
<calcChain xmlns="http://schemas.openxmlformats.org/spreadsheetml/2006/main">
  <c r="X33" i="2" l="1"/>
  <c r="Z33" i="2"/>
  <c r="AA33" i="2"/>
  <c r="AB33" i="2"/>
  <c r="M33" i="2"/>
  <c r="O33" i="2"/>
  <c r="P33" i="2"/>
  <c r="Q33" i="2"/>
  <c r="X19" i="3"/>
  <c r="Z19" i="3"/>
  <c r="AA19" i="3"/>
  <c r="AB19" i="3"/>
  <c r="M19" i="3"/>
  <c r="O19" i="3"/>
  <c r="P19" i="3"/>
  <c r="Q19" i="3"/>
  <c r="X16" i="4"/>
  <c r="Z16" i="4"/>
  <c r="AA16" i="4"/>
  <c r="AB16" i="4"/>
  <c r="M16" i="4"/>
  <c r="O16" i="4"/>
  <c r="P16" i="4"/>
  <c r="Q16" i="4"/>
  <c r="X30" i="5"/>
  <c r="Z30" i="5"/>
  <c r="AA30" i="5"/>
  <c r="M30" i="5"/>
  <c r="O30" i="5"/>
  <c r="P30" i="5"/>
  <c r="Q30" i="5"/>
  <c r="X29" i="5"/>
  <c r="Z29" i="5"/>
  <c r="AA29" i="5"/>
  <c r="AB29" i="5"/>
  <c r="M29" i="5"/>
  <c r="O29" i="5"/>
  <c r="P29" i="5"/>
  <c r="Q29" i="5"/>
  <c r="X28" i="5"/>
  <c r="Z28" i="5"/>
  <c r="AA28" i="5"/>
  <c r="AB28" i="5"/>
  <c r="M28" i="5"/>
  <c r="O28" i="5"/>
  <c r="P28" i="5"/>
  <c r="Q28" i="5"/>
  <c r="X27" i="5"/>
  <c r="Z27" i="5"/>
  <c r="AA27" i="5"/>
  <c r="AB27" i="5"/>
  <c r="M27" i="5"/>
  <c r="O27" i="5"/>
  <c r="P27" i="5"/>
  <c r="Q27" i="5"/>
  <c r="X26" i="5"/>
  <c r="Z26" i="5"/>
  <c r="AA26" i="5"/>
  <c r="AB26" i="5"/>
  <c r="M26" i="5"/>
  <c r="O26" i="5"/>
  <c r="P26" i="5"/>
  <c r="Q26" i="5"/>
  <c r="X25" i="5"/>
  <c r="Z25" i="5"/>
  <c r="AA25" i="5"/>
  <c r="AB25" i="5"/>
  <c r="M25" i="5"/>
  <c r="O25" i="5"/>
  <c r="P25" i="5"/>
  <c r="Q25" i="5"/>
  <c r="X24" i="5"/>
  <c r="Z24" i="5"/>
  <c r="AA24" i="5"/>
  <c r="AB24" i="5"/>
  <c r="M24" i="5"/>
  <c r="O24" i="5"/>
  <c r="P24" i="5"/>
  <c r="Q24" i="5"/>
  <c r="X23" i="5"/>
  <c r="Z23" i="5"/>
  <c r="AA23" i="5"/>
  <c r="AB23" i="5"/>
  <c r="M23" i="5"/>
  <c r="O23" i="5"/>
  <c r="P23" i="5"/>
  <c r="Q23" i="5"/>
  <c r="X22" i="5"/>
  <c r="Z22" i="5"/>
  <c r="AA22" i="5"/>
  <c r="AB22" i="5"/>
  <c r="M22" i="5"/>
  <c r="O22" i="5"/>
  <c r="P22" i="5"/>
  <c r="Q22" i="5"/>
  <c r="X21" i="5"/>
  <c r="Z21" i="5"/>
  <c r="AA21" i="5"/>
  <c r="AB21" i="5"/>
  <c r="M21" i="5"/>
  <c r="O21" i="5"/>
  <c r="P21" i="5"/>
  <c r="Q21" i="5"/>
  <c r="X20" i="5"/>
  <c r="Z20" i="5"/>
  <c r="AA20" i="5"/>
  <c r="AB20" i="5"/>
  <c r="M20" i="5"/>
  <c r="O20" i="5"/>
  <c r="P20" i="5"/>
  <c r="Q20" i="5"/>
  <c r="X19" i="5"/>
  <c r="Z19" i="5"/>
  <c r="AA19" i="5"/>
  <c r="AB19" i="5"/>
  <c r="M19" i="5"/>
  <c r="O19" i="5"/>
  <c r="P19" i="5"/>
  <c r="Q19" i="5"/>
  <c r="X18" i="5"/>
  <c r="Z18" i="5"/>
  <c r="AA18" i="5"/>
  <c r="AB18" i="5"/>
  <c r="M18" i="5"/>
  <c r="O18" i="5"/>
  <c r="P18" i="5"/>
  <c r="Q18" i="5"/>
  <c r="X17" i="5"/>
  <c r="Z17" i="5"/>
  <c r="AA17" i="5"/>
  <c r="AB17" i="5"/>
  <c r="M17" i="5"/>
  <c r="O17" i="5"/>
  <c r="P17" i="5"/>
  <c r="Q17" i="5"/>
  <c r="X16" i="5"/>
  <c r="Z16" i="5"/>
  <c r="AA16" i="5"/>
  <c r="AB16" i="5"/>
  <c r="M16" i="5"/>
  <c r="O16" i="5"/>
  <c r="P16" i="5"/>
  <c r="Q16" i="5"/>
  <c r="X15" i="5"/>
  <c r="Z15" i="5"/>
  <c r="AA15" i="5"/>
  <c r="AB15" i="5"/>
  <c r="M15" i="5"/>
  <c r="O15" i="5"/>
  <c r="P15" i="5"/>
  <c r="Q15" i="5"/>
  <c r="X14" i="5"/>
  <c r="Z14" i="5"/>
  <c r="AA14" i="5"/>
  <c r="AB14" i="5"/>
  <c r="M14" i="5"/>
  <c r="O14" i="5"/>
  <c r="P14" i="5"/>
  <c r="Q14" i="5"/>
  <c r="X13" i="5"/>
  <c r="Z13" i="5"/>
  <c r="AA13" i="5"/>
  <c r="AB13" i="5"/>
  <c r="M13" i="5"/>
  <c r="O13" i="5"/>
  <c r="P13" i="5"/>
  <c r="Q13" i="5"/>
  <c r="X12" i="5"/>
  <c r="Z12" i="5"/>
  <c r="AA12" i="5"/>
  <c r="AB12" i="5"/>
  <c r="M12" i="5"/>
  <c r="O12" i="5"/>
  <c r="P12" i="5"/>
  <c r="Q12" i="5"/>
  <c r="X11" i="5"/>
  <c r="Z11" i="5"/>
  <c r="AA11" i="5"/>
  <c r="AB11" i="5"/>
  <c r="M11" i="5"/>
  <c r="O11" i="5"/>
  <c r="P11" i="5"/>
  <c r="Q11" i="5"/>
  <c r="X19" i="4"/>
  <c r="Z19" i="4"/>
  <c r="AA19" i="4"/>
  <c r="AB19" i="4"/>
  <c r="M19" i="4"/>
  <c r="O19" i="4"/>
  <c r="P19" i="4"/>
  <c r="Q19" i="4"/>
  <c r="X18" i="4"/>
  <c r="Z18" i="4"/>
  <c r="AA18" i="4"/>
  <c r="AB18" i="4"/>
  <c r="M18" i="4"/>
  <c r="O18" i="4"/>
  <c r="P18" i="4"/>
  <c r="Q18" i="4"/>
  <c r="X17" i="4"/>
  <c r="Z17" i="4"/>
  <c r="AA17" i="4"/>
  <c r="AB17" i="4"/>
  <c r="M17" i="4"/>
  <c r="O17" i="4"/>
  <c r="P17" i="4"/>
  <c r="Q17" i="4"/>
  <c r="X15" i="4"/>
  <c r="Z15" i="4"/>
  <c r="AA15" i="4"/>
  <c r="AB15" i="4"/>
  <c r="M15" i="4"/>
  <c r="O15" i="4"/>
  <c r="P15" i="4"/>
  <c r="Q15" i="4"/>
  <c r="X14" i="4"/>
  <c r="Z14" i="4"/>
  <c r="AA14" i="4"/>
  <c r="AB14" i="4"/>
  <c r="M14" i="4"/>
  <c r="O14" i="4"/>
  <c r="P14" i="4"/>
  <c r="Q14" i="4"/>
  <c r="X13" i="4"/>
  <c r="Z13" i="4"/>
  <c r="AA13" i="4"/>
  <c r="AB13" i="4"/>
  <c r="M13" i="4"/>
  <c r="O13" i="4"/>
  <c r="P13" i="4"/>
  <c r="Q13" i="4"/>
  <c r="X12" i="4"/>
  <c r="Z12" i="4"/>
  <c r="AA12" i="4"/>
  <c r="AB12" i="4"/>
  <c r="M12" i="4"/>
  <c r="O12" i="4"/>
  <c r="P12" i="4"/>
  <c r="Q12" i="4"/>
  <c r="X11" i="4"/>
  <c r="Z11" i="4"/>
  <c r="AA11" i="4"/>
  <c r="AB11" i="4"/>
  <c r="M11" i="4"/>
  <c r="O11" i="4"/>
  <c r="P11" i="4"/>
  <c r="Q11" i="4"/>
  <c r="X10" i="4"/>
  <c r="Z10" i="4"/>
  <c r="AA10" i="4"/>
  <c r="AB10" i="4"/>
  <c r="M10" i="4"/>
  <c r="O10" i="4"/>
  <c r="P10" i="4"/>
  <c r="Q10" i="4"/>
  <c r="X21" i="3"/>
  <c r="Z21" i="3"/>
  <c r="AA21" i="3"/>
  <c r="AB21" i="3"/>
  <c r="M21" i="3"/>
  <c r="O21" i="3"/>
  <c r="P21" i="3"/>
  <c r="Q21" i="3"/>
  <c r="X20" i="3"/>
  <c r="Z20" i="3"/>
  <c r="AA20" i="3"/>
  <c r="AB20" i="3"/>
  <c r="M20" i="3"/>
  <c r="O20" i="3"/>
  <c r="P20" i="3"/>
  <c r="Q20" i="3"/>
  <c r="X18" i="3"/>
  <c r="Z18" i="3"/>
  <c r="AA18" i="3"/>
  <c r="AB18" i="3"/>
  <c r="M18" i="3"/>
  <c r="O18" i="3"/>
  <c r="P18" i="3"/>
  <c r="Q18" i="3"/>
  <c r="X17" i="3"/>
  <c r="Z17" i="3"/>
  <c r="AA17" i="3"/>
  <c r="AB17" i="3"/>
  <c r="M17" i="3"/>
  <c r="O17" i="3"/>
  <c r="P17" i="3"/>
  <c r="Q17" i="3"/>
  <c r="X16" i="3"/>
  <c r="Z16" i="3"/>
  <c r="AA16" i="3"/>
  <c r="AB16" i="3"/>
  <c r="M16" i="3"/>
  <c r="O16" i="3"/>
  <c r="P16" i="3"/>
  <c r="Q16" i="3"/>
  <c r="X15" i="3"/>
  <c r="Z15" i="3"/>
  <c r="AA15" i="3"/>
  <c r="AB15" i="3"/>
  <c r="M15" i="3"/>
  <c r="O15" i="3"/>
  <c r="P15" i="3"/>
  <c r="Q15" i="3"/>
  <c r="X14" i="3"/>
  <c r="Z14" i="3"/>
  <c r="AA14" i="3"/>
  <c r="AB14" i="3"/>
  <c r="M14" i="3"/>
  <c r="O14" i="3"/>
  <c r="P14" i="3"/>
  <c r="Q14" i="3"/>
  <c r="X13" i="3"/>
  <c r="Z13" i="3"/>
  <c r="M13" i="3"/>
  <c r="O13" i="3"/>
  <c r="X12" i="3"/>
  <c r="Z12" i="3"/>
  <c r="AA12" i="3"/>
  <c r="AB12" i="3"/>
  <c r="M12" i="3"/>
  <c r="O12" i="3"/>
  <c r="P12" i="3"/>
  <c r="Q12" i="3"/>
  <c r="X11" i="3"/>
  <c r="Z11" i="3"/>
  <c r="AA11" i="3"/>
  <c r="AB11" i="3"/>
  <c r="M11" i="3"/>
  <c r="O11" i="3"/>
  <c r="P11" i="3"/>
  <c r="Q11" i="3"/>
  <c r="X35" i="2"/>
  <c r="Z35" i="2"/>
  <c r="AA35" i="2"/>
  <c r="AB35" i="2"/>
  <c r="M35" i="2"/>
  <c r="O35" i="2"/>
  <c r="P35" i="2"/>
  <c r="Q35" i="2"/>
  <c r="X34" i="2"/>
  <c r="Z34" i="2"/>
  <c r="AA34" i="2"/>
  <c r="AB34" i="2"/>
  <c r="M34" i="2"/>
  <c r="O34" i="2"/>
  <c r="P34" i="2"/>
  <c r="Q34" i="2"/>
  <c r="X32" i="2"/>
  <c r="Z32" i="2"/>
  <c r="AA32" i="2"/>
  <c r="AB32" i="2"/>
  <c r="M32" i="2"/>
  <c r="O32" i="2"/>
  <c r="P32" i="2"/>
  <c r="Q32" i="2"/>
  <c r="X31" i="2"/>
  <c r="Z31" i="2"/>
  <c r="AA31" i="2"/>
  <c r="AB31" i="2"/>
  <c r="M31" i="2"/>
  <c r="O31" i="2"/>
  <c r="P31" i="2"/>
  <c r="Q31" i="2"/>
  <c r="X30" i="2"/>
  <c r="Z30" i="2"/>
  <c r="AA30" i="2"/>
  <c r="AB30" i="2"/>
  <c r="M30" i="2"/>
  <c r="O30" i="2"/>
  <c r="P30" i="2"/>
  <c r="Q30" i="2"/>
  <c r="X29" i="2"/>
  <c r="Z29" i="2"/>
  <c r="AA29" i="2"/>
  <c r="AB29" i="2"/>
  <c r="M29" i="2"/>
  <c r="O29" i="2"/>
  <c r="P29" i="2"/>
  <c r="Q29" i="2"/>
  <c r="X28" i="2"/>
  <c r="Z28" i="2"/>
  <c r="AA28" i="2"/>
  <c r="AB28" i="2"/>
  <c r="M28" i="2"/>
  <c r="O28" i="2"/>
  <c r="P28" i="2"/>
  <c r="Q28" i="2"/>
  <c r="X27" i="2"/>
  <c r="Z27" i="2"/>
  <c r="AA27" i="2"/>
  <c r="AB27" i="2"/>
  <c r="M27" i="2"/>
  <c r="O27" i="2"/>
  <c r="P27" i="2"/>
  <c r="Q27" i="2"/>
  <c r="X26" i="2"/>
  <c r="Z26" i="2"/>
  <c r="AA26" i="2"/>
  <c r="AB26" i="2"/>
  <c r="M26" i="2"/>
  <c r="O26" i="2"/>
  <c r="P26" i="2"/>
  <c r="Q26" i="2"/>
  <c r="X25" i="2"/>
  <c r="Z25" i="2"/>
  <c r="AA25" i="2"/>
  <c r="AB25" i="2"/>
  <c r="M25" i="2"/>
  <c r="O25" i="2"/>
  <c r="P25" i="2"/>
  <c r="Q25" i="2"/>
  <c r="X24" i="2"/>
  <c r="Z24" i="2"/>
  <c r="AA24" i="2"/>
  <c r="AB24" i="2"/>
  <c r="M24" i="2"/>
  <c r="O24" i="2"/>
  <c r="P24" i="2"/>
  <c r="Q24" i="2"/>
  <c r="X23" i="2"/>
  <c r="Z23" i="2"/>
  <c r="AA23" i="2"/>
  <c r="AB23" i="2"/>
  <c r="M23" i="2"/>
  <c r="O23" i="2"/>
  <c r="P23" i="2"/>
  <c r="Q23" i="2"/>
  <c r="X22" i="2"/>
  <c r="Z22" i="2"/>
  <c r="AA22" i="2"/>
  <c r="AB22" i="2"/>
  <c r="M22" i="2"/>
  <c r="O22" i="2"/>
  <c r="P22" i="2"/>
  <c r="Q22" i="2"/>
  <c r="X21" i="2"/>
  <c r="Z21" i="2"/>
  <c r="AA21" i="2"/>
  <c r="AB21" i="2"/>
  <c r="M21" i="2"/>
  <c r="O21" i="2"/>
  <c r="P21" i="2"/>
  <c r="Q21" i="2"/>
  <c r="X20" i="2"/>
  <c r="Z20" i="2"/>
  <c r="M20" i="2"/>
  <c r="O20" i="2"/>
  <c r="P20" i="2"/>
  <c r="Q20" i="2"/>
  <c r="X19" i="2"/>
  <c r="Z19" i="2"/>
  <c r="AA19" i="2"/>
  <c r="AB19" i="2"/>
  <c r="M19" i="2"/>
  <c r="O19" i="2"/>
  <c r="P19" i="2"/>
  <c r="Q19" i="2"/>
  <c r="X18" i="2"/>
  <c r="Z18" i="2"/>
  <c r="AA18" i="2"/>
  <c r="AB18" i="2"/>
  <c r="M18" i="2"/>
  <c r="O18" i="2"/>
  <c r="P18" i="2"/>
  <c r="Q18" i="2"/>
  <c r="X17" i="2"/>
  <c r="Z17" i="2"/>
  <c r="AA17" i="2"/>
  <c r="AB17" i="2"/>
  <c r="M17" i="2"/>
  <c r="O17" i="2"/>
  <c r="P17" i="2"/>
  <c r="Q17" i="2"/>
  <c r="X16" i="2"/>
  <c r="Z16" i="2"/>
  <c r="AA16" i="2"/>
  <c r="AB16" i="2"/>
  <c r="M16" i="2"/>
  <c r="O16" i="2"/>
  <c r="P16" i="2"/>
  <c r="Q16" i="2"/>
  <c r="X15" i="2"/>
  <c r="Z15" i="2"/>
  <c r="AA15" i="2"/>
  <c r="AB15" i="2"/>
  <c r="M15" i="2"/>
  <c r="O15" i="2"/>
  <c r="P15" i="2"/>
  <c r="Q15" i="2"/>
  <c r="X14" i="2"/>
  <c r="Z14" i="2"/>
  <c r="AA14" i="2"/>
  <c r="AB14" i="2"/>
  <c r="M14" i="2"/>
  <c r="O14" i="2"/>
  <c r="P14" i="2"/>
  <c r="Q14" i="2"/>
  <c r="X13" i="2"/>
  <c r="Z13" i="2"/>
  <c r="AA13" i="2"/>
  <c r="AB13" i="2"/>
  <c r="M13" i="2"/>
  <c r="O13" i="2"/>
  <c r="P13" i="2"/>
  <c r="Q13" i="2"/>
  <c r="X11" i="2"/>
  <c r="Z11" i="2"/>
  <c r="AA11" i="2"/>
  <c r="AB11" i="2"/>
  <c r="M11" i="2"/>
  <c r="O11" i="2"/>
  <c r="P11" i="2"/>
  <c r="Q11" i="2"/>
</calcChain>
</file>

<file path=xl/sharedStrings.xml><?xml version="1.0" encoding="utf-8"?>
<sst xmlns="http://schemas.openxmlformats.org/spreadsheetml/2006/main" count="619" uniqueCount="247">
  <si>
    <t>N°</t>
  </si>
  <si>
    <t>PROCESO</t>
  </si>
  <si>
    <t>PUESTO DE TRABAJO</t>
  </si>
  <si>
    <t>TAREAS</t>
  </si>
  <si>
    <t>TIPO DE TAREA</t>
  </si>
  <si>
    <t>RIESGO</t>
  </si>
  <si>
    <t>EVALUACION DE RIESGOS</t>
  </si>
  <si>
    <t>EVALUACION DE RIESGO RESIDUAL</t>
  </si>
  <si>
    <t>PROBABILIDAD</t>
  </si>
  <si>
    <t>NIVEL DEL INDICE DE PROBABILIDAD = (PE) + (CE) + (C) + (ER)</t>
  </si>
  <si>
    <t>INDICE DE SEVERIDAD</t>
  </si>
  <si>
    <t>RIESGO = (PROBALIDAD) X (SEVERIDAD)</t>
  </si>
  <si>
    <t>NIVEL DEL RIESGO</t>
  </si>
  <si>
    <t>RIESGO SIGNIFICATIVO</t>
  </si>
  <si>
    <t>Medidas de Control a Implementar o existentes</t>
  </si>
  <si>
    <t>RESPONSABLE (S)</t>
  </si>
  <si>
    <t>OBSERVACIONES</t>
  </si>
  <si>
    <t>RUTINARIA</t>
  </si>
  <si>
    <t>NO RUTINARIA</t>
  </si>
  <si>
    <t>INDICE PERSONAS EXPUESTAS (PE)</t>
  </si>
  <si>
    <t>INDICE CONTROLES EXISTENTES (CE)</t>
  </si>
  <si>
    <t>INDICE CAPACITACION (C)</t>
  </si>
  <si>
    <t>INDICE EXPOSICIÓN AL RIESGO
(ER)</t>
  </si>
  <si>
    <t>Diseño y Desarrollo</t>
  </si>
  <si>
    <t>1.-Analista de Patronaje y Diseño</t>
  </si>
  <si>
    <t>1. Creación y escalado de los Patrones
2. Elaboracion de la Contramuestra</t>
  </si>
  <si>
    <t>X</t>
  </si>
  <si>
    <t>Posturas inadecuadas</t>
  </si>
  <si>
    <t>Lesiones musculo-esqueleticas</t>
  </si>
  <si>
    <t>Control Administrativo/ parada activa,monitoreo ergonomico,examen medico ocupacional,charlas 5min</t>
  </si>
  <si>
    <t>Coordinador SIG / Supervisor SST</t>
  </si>
  <si>
    <t>NA</t>
  </si>
  <si>
    <t xml:space="preserve">Peligros del Entorno </t>
  </si>
  <si>
    <t>Robos o asaltos,ataque , arrastre, lesiones ,secuestro</t>
  </si>
  <si>
    <t>Moderado</t>
  </si>
  <si>
    <t>NO</t>
  </si>
  <si>
    <t>Control Administrativo/Charlas de seguridad,protocolo ante robos y asalto,cámaras de seguridad externa</t>
  </si>
  <si>
    <t>Tolerable</t>
  </si>
  <si>
    <t xml:space="preserve">NO llevar celular en la mano </t>
  </si>
  <si>
    <t>Cables enredados baja tension</t>
  </si>
  <si>
    <t>Contacto con partes energizadas, descargas electricas, quemaduras</t>
  </si>
  <si>
    <t>Control administrativo/programa de mantenimiento,inspeccion mensual,programa de capacitaciones,mantenimiento preventivo</t>
  </si>
  <si>
    <t>Iluminación (luz visible porexceso o deficiencia),Radiaciones no ionizantes(generados por lámparasfluorescentes, computadores)</t>
  </si>
  <si>
    <t>Fatiga visual, pérdidaagudeza visual, síndromeojo rojo y perdida de lacapacidad visual, dolor decabeza, menor rendimiento</t>
  </si>
  <si>
    <t>Control de Ingenieria/mantenimiento de luminarias,monitoreo de iluminación,examen medico ocupacional,inspección mensual,control de restricciones de exámen ocupacional</t>
  </si>
  <si>
    <t>Coordinador SIG / Supervisor SST/Jefe Gestión de Talento Humano</t>
  </si>
  <si>
    <t>Propiciar iluminacion natural, en las instalaciones</t>
  </si>
  <si>
    <t>Materiales en Altura</t>
  </si>
  <si>
    <t>Caida, impacto a personas o equipos</t>
  </si>
  <si>
    <t>Control administrativo/inducción ,programa de capacitaciones,inspección mensual</t>
  </si>
  <si>
    <t>Comunicación y entrenamiento Ineficaz</t>
  </si>
  <si>
    <t>Falta de cumplimiento a los procedimientos, apoyo por parte de la dirección o los compañeros; acoso psicológico y sexual, violencia ejercida.</t>
  </si>
  <si>
    <t>Capacitaciones hostigamiento y acoso sexual laboral,monitoreo psicosocial,pausas activas,reconocimientos,cámaras de seguridad,programa de capacitaciones</t>
  </si>
  <si>
    <t>Coordinador SIG/Gerente General/Jefe de Gestión de Talento Humano</t>
  </si>
  <si>
    <t>Orden y Limpieza</t>
  </si>
  <si>
    <t>Caida, impacto a personas o equipos, lesiones, cortes</t>
  </si>
  <si>
    <t>Control Administrativo/capacitacion sobre 5s,rutina de limpieza,inspecciones mensuales</t>
  </si>
  <si>
    <t>SARCOV 2</t>
  </si>
  <si>
    <t>Puede ocasionar COVID ,Contagio, muerte</t>
  </si>
  <si>
    <t>Control Administrativo / EPP/ señalizacion, uso obligatorio de mascarilla, Plan de vigilancia COVID, tomar control de vacunacion.</t>
  </si>
  <si>
    <t>Coordinador SIG/ Supervisor SST/ 
 Supervisor de seguridad/Jefe de ingenieria/Alta Dirección</t>
  </si>
  <si>
    <t>Respetar las normativas</t>
  </si>
  <si>
    <t>Gestión Comercial</t>
  </si>
  <si>
    <t>1. -Jefe Comercial</t>
  </si>
  <si>
    <t>1. Negociacion
2. Visita al cliente
3. Estudio de mercardo
4. Lanzamiento de Productos
5. Cobro a los clientes
6. Pago a Proveedores</t>
  </si>
  <si>
    <t>Conducción de Vehículos</t>
  </si>
  <si>
    <t>Atropellamiento,golpes,traumas,fracturas,muerte</t>
  </si>
  <si>
    <t>horario flexible,protocolo ante robo o asalto,revisión técnica  ,SOAT,uso de cinturón de seguridad,mantenimiento/sustituir</t>
  </si>
  <si>
    <t>Coordinador SIG</t>
  </si>
  <si>
    <t>SI</t>
  </si>
  <si>
    <t xml:space="preserve">Manejar con Precaución, no consumir bebidas alcohólicas </t>
  </si>
  <si>
    <t>Fatiga visual, pérdidaagudeza visual, síndromeojo rojo y perdida de la capacidad visual, dolor decabeza, menor rendimiento</t>
  </si>
  <si>
    <t>Coordinador SIG/Supervisor SST</t>
  </si>
  <si>
    <t>Coordinador SIG/Gerente General</t>
  </si>
  <si>
    <t>Control administrativo/inducción ,programa de capacitaciones,inspección mensual,rutina de limpieza</t>
  </si>
  <si>
    <t>GESTION DE TALENTO HUMANO</t>
  </si>
  <si>
    <t>1.Jefe de Gestión de Talento Humano</t>
  </si>
  <si>
    <t xml:space="preserve">1. Contratación de personal
2. Pago de Planillas
</t>
  </si>
  <si>
    <t>Control de Ingenieria/cambio de luminarias</t>
  </si>
  <si>
    <t>Comunicación Ineficaz</t>
  </si>
  <si>
    <t>Control Administrativo/capacitacion sobre 5s, señalizacion</t>
  </si>
  <si>
    <t>Mantenimiento</t>
  </si>
  <si>
    <t>1. Supervisor de Mantenimiento y control de equipos/Jefe de Ingenieria de Confecciones</t>
  </si>
  <si>
    <t>1. Ejecución de Mantenimiento Preventivos y correctivos por personal interno y externo</t>
  </si>
  <si>
    <t>Posturas de trabajo</t>
  </si>
  <si>
    <t>Posturas forzadas o inadecuadas lesiones musculo esqueléticas,lumbalgia</t>
  </si>
  <si>
    <t>Control Administrativo//monitoreo ocupacional ergonómico.</t>
  </si>
  <si>
    <t>Uso Insumos Quimicos( aceites)</t>
  </si>
  <si>
    <t>caida ,impacto a personas</t>
  </si>
  <si>
    <t>Control Administrativo/capacitación IPERC , procedimientos/Charlas de seguridad/ Orden y limpieza</t>
  </si>
  <si>
    <t>Coordinador SIG/Supervisor SST/Supervisor de Mantenimiento</t>
  </si>
  <si>
    <t>Solo Personal entrenado y autorizado</t>
  </si>
  <si>
    <t>Iluminacion inadecuada o deficiente</t>
  </si>
  <si>
    <t>Alteraciones visuales</t>
  </si>
  <si>
    <t>Mantenimiento de luminarias,monitoreo de iluminacion,inspección mensual</t>
  </si>
  <si>
    <t>Coordinador SIG / Supervisor SST/Supervisor de Mantenimiento</t>
  </si>
  <si>
    <t>Exceso de ruido</t>
  </si>
  <si>
    <t>Alteraciones auditivas</t>
  </si>
  <si>
    <t>Control Administrativo / EPP/ señalizacion, uso obligatorio de audifonos de seguridad/control de decibeles, monitoreo ocupacional de ruido, controles de maquinas.</t>
  </si>
  <si>
    <t>Coordinador SIG/ Supervisor SST/ 
 Supervisor de confecciones</t>
  </si>
  <si>
    <t>No usar herramientas adecuadas</t>
  </si>
  <si>
    <t>Lesiones, cortes, pinchazos, aplastamientos, golpes, quemaduras.</t>
  </si>
  <si>
    <t>Control Administrativo/señalizacion,charlas de seguridad</t>
  </si>
  <si>
    <t>Coordinador SIG/ Supervisor SST/ 
 Supervisor de confecciones/ Supervisor de Mantenimiento</t>
  </si>
  <si>
    <t>NO, utilizar herramientas en mal estado. Retirar del area de trabajo</t>
  </si>
  <si>
    <t>Electricidad</t>
  </si>
  <si>
    <t>programa de mantenimiento,mantenimiento preventivo</t>
  </si>
  <si>
    <t>Coordinador SIG / Supervisor SST/ Supervisor de Mantenimiento</t>
  </si>
  <si>
    <t>Maquinas con partes movibles sin proteccion</t>
  </si>
  <si>
    <t>Lesiones, golpes, atrapamiento, cortes, amputaciones, pinchazos, aplastamientos, golpes quemaduras, decargas electricas.</t>
  </si>
  <si>
    <t xml:space="preserve">Control administrativo/señalizacion/EPP guantes anticorte,lentes de seguridad, guardas, tapas de seguridad, programa mantenimiento </t>
  </si>
  <si>
    <t>Coordinador SIG/
 Supervisor de confecciones/ Supervisor de Mantenimiento</t>
  </si>
  <si>
    <t>El personal debe reportar un desperfecto de consideracion peligrosa</t>
  </si>
  <si>
    <t>CONFECCIÓN</t>
  </si>
  <si>
    <t>ENCARGADO DE CORTE</t>
  </si>
  <si>
    <t>1, CORTAR</t>
  </si>
  <si>
    <t>Capacitación 5'S, Rutinas de orden y limpieza, inspecciones mensuales</t>
  </si>
  <si>
    <t>Coordinador SIG/ Supervisor SST/ Gestión de talento humano/Supervisor de confección
 Supervisor de confecciones</t>
  </si>
  <si>
    <t>Alteraciones auditivas,dificultad para concentrarse</t>
  </si>
  <si>
    <t>Control Administrativo / EPP/ señalizacion, uso obligatorio de audifonos de seguridad/ monitoreo ocupacional de ruido, programa de mantenimiento.</t>
  </si>
  <si>
    <t>Respetar señalización uso de EPPS</t>
  </si>
  <si>
    <t>Alteraciones visuales, dolor de cabeza, esfuerzo visual</t>
  </si>
  <si>
    <t>Inspecciones mensuales/mantenimiento de luminarias/monitoreo de iluminación</t>
  </si>
  <si>
    <t>Coordinador SIG/ Supervisor SST/ 
 Supervisor de Mantenimiento</t>
  </si>
  <si>
    <t>Coordinador SIG / Supervisor SST/Operarios</t>
  </si>
  <si>
    <t>Polvillo respirable e inhalable</t>
  </si>
  <si>
    <t>irritación a los ojos,alergias</t>
  </si>
  <si>
    <t>Uso obligatorio de EPPS/monitoreo ocupacional de polvo,programa anual de SST,rutina de limpieza,inspecciones mensuales</t>
  </si>
  <si>
    <t>Uso corecto de los Epp's</t>
  </si>
  <si>
    <t>Maquinas de corte manual</t>
  </si>
  <si>
    <t>contacto con partes filosas, atrapamiento, cortes, amputaciones, aplastamientos, decargas electricas.</t>
  </si>
  <si>
    <t>Control administrativo/señalizacion/ guantes anticorte,lentes de seguridad, protectores auditivos,programa de mantenimiento.</t>
  </si>
  <si>
    <t xml:space="preserve">Coordinador SIG/ Supervisor SST/ Supervisor de Mantenimiento/Jefe de Ingenieria de confecciones
</t>
  </si>
  <si>
    <t>El personal debe reportar un desperfecto de consideracion peligrosa, asi como usar obligatoriamente los EPP's</t>
  </si>
  <si>
    <t>Contacto con partes energizadas</t>
  </si>
  <si>
    <t>Coordinador SIG / Supervisor SST/Supervisor de Mantenimiento/Operarios</t>
  </si>
  <si>
    <t>no llevar celulares a la mano</t>
  </si>
  <si>
    <t xml:space="preserve">
1. Operarias 
2. Supervisor de Confeccion y Acabados
3. Jefe de Ingenieria de Confecciones 4.Control de calidad</t>
  </si>
  <si>
    <t>Maquinas con partes movibles</t>
  </si>
  <si>
    <t>Lesiones, golpes, atrapamiento, cortes, pinchazos, aplastamientos, golpes quemaduras, decargas electricas.</t>
  </si>
  <si>
    <t>Coordinador SIG/ Supervisor SST/ SUPERVISOR DE MANTENIMIENTO/ Supervisor de confecciones</t>
  </si>
  <si>
    <t>Sustancias Quimicas</t>
  </si>
  <si>
    <t>Contacto con sustancias químicas,Alergias,intoxicacion,vertigo y dolor de cabeza</t>
  </si>
  <si>
    <t>Ficha de seguridad / EPP/señalizacion</t>
  </si>
  <si>
    <t>Respetar las recomendaciones</t>
  </si>
  <si>
    <t>Situación potencial de Incendio</t>
  </si>
  <si>
    <t>Quemadura , asfixia,muerte</t>
  </si>
  <si>
    <t>Programa de capacitaciones / EPP/señalizacion/extintores/programa de simulacros/brigadas de seguridad capacitadas en respuesta inmediata</t>
  </si>
  <si>
    <t>Coordinador SIG/ Supervisor SST/ 
 Supervisor de confecciones/Personal Capacitado</t>
  </si>
  <si>
    <t>Procedimiento Preparacion y Respuesta ante Emergencias/entrenamiento uso de extintores</t>
  </si>
  <si>
    <t xml:space="preserve">CONFECCION </t>
  </si>
  <si>
    <t>Falta de ventilacion</t>
  </si>
  <si>
    <t>Fatiga, cansancio, calor, dolor de cabeza, sueño</t>
  </si>
  <si>
    <t>Aumento de  ventiladores para ayudar a circular el aire,apertura de ventanas</t>
  </si>
  <si>
    <t>Coordinador SIG/ Supervisor SST/Alta dirección
 Supervisor de confecciones</t>
  </si>
  <si>
    <t>Herramientas manuales y punzo cortantes</t>
  </si>
  <si>
    <t>Lesiones, cortes, pinchazos, golpes.</t>
  </si>
  <si>
    <t>programa de capacitacion,charlas de seguridad,reunión de apertura</t>
  </si>
  <si>
    <t>Falta de cumplimiento a los procedimientos,falta de  apoyo por parte de la dirección o los compañeros; acoso psicológico y sexual, violencia ejercida.</t>
  </si>
  <si>
    <t>Estanteria y Moviliario</t>
  </si>
  <si>
    <t>Lesiones, atrapamiento, cortes, pinchazos, aplastamientos, golpes.</t>
  </si>
  <si>
    <t>moviliario asegurado a pared, señalización material por cliente,inspecciones mensuales</t>
  </si>
  <si>
    <t>Superficies energizadas</t>
  </si>
  <si>
    <t>equipos con linea a tierra,mantenimiento preventivo,señalizacion,cuchilla termomagnetica diferenciales, instalacion de pozo a tierra y medicion de operatividad,guardas de protección</t>
  </si>
  <si>
    <t>Coordinador SIG/ Supervisor SST/ Supervisor de Mantenimiento/
 Supervisor de confecciones</t>
  </si>
  <si>
    <t>La manipulación de energía sólo debe ser por personal capacitado y autorizado</t>
  </si>
  <si>
    <t>Caidas al mismo nivel</t>
  </si>
  <si>
    <t>Control Administrativo / señalizacion/cinta antideslizante,inspecciones mensuales</t>
  </si>
  <si>
    <t>Control de Ingenieria/mantenimiento de luminarias,inspección mensual,monitoreo de Iluminación</t>
  </si>
  <si>
    <t>Coordinador SIG/ Supervisor SST/ 
 Supervisor de confecciones/Supervisor de Mantenimiento</t>
  </si>
  <si>
    <t>Vidrios expuestos</t>
  </si>
  <si>
    <t>Cortes, lesiones</t>
  </si>
  <si>
    <t>Control de Ingenieria/ lamina de seguridad/señalización zonas seguras</t>
  </si>
  <si>
    <t>mantenimiento de instalaciones ventiladas, señalizacion, uso obligatorio de mascarilla, Plan de vigilancia COVID,ficha de sintomatología al ingreso de personal nuevo,  control de carnet vacunacion.</t>
  </si>
  <si>
    <t>Usar EPPS</t>
  </si>
  <si>
    <t>Capacitación 5'S, rutinas de orden y limpieza</t>
  </si>
  <si>
    <t>Control Administrativo/parada activa/monitoreo ocupacional ergonómico,señalización por máquina,charlas 5min,reunión de apertura,examen médico ocupacional</t>
  </si>
  <si>
    <t>Respetar la señalizacion de postura y recomendaciones</t>
  </si>
  <si>
    <t>Tension emocional,irritabilidad,estres,fatiga mental .transtornos digestivos,tension nerviosa,depresion</t>
  </si>
  <si>
    <t>Control Administrativo, parada activa,inducción ,programa de capacitaciones,monitoreo ocupacional psicosocial</t>
  </si>
  <si>
    <t>Coordinador SIG / Supervisor SST/Gestiíón de Talento Humano</t>
  </si>
  <si>
    <t>Quemadura por plancha industrial</t>
  </si>
  <si>
    <t>quemadura por contacto a superficie caliente,vapor caliente, quemadura de 2do grado</t>
  </si>
  <si>
    <t>programa mantenimiento de equipos,mantenimiento preventivo,señalización</t>
  </si>
  <si>
    <t>Coordinador SIG / Supervisor SST / Supervisor de confeccion</t>
  </si>
  <si>
    <t>Explosión de compresora</t>
  </si>
  <si>
    <t xml:space="preserve"> problemas auditivos,lesiones multiples,muerte</t>
  </si>
  <si>
    <t>programa de mantenimiento, uso de protector auditivo,mantenimiento preventivo</t>
  </si>
  <si>
    <t>Coordinador SIG / Supervisor SST/ Supervisor de mantenimieto</t>
  </si>
  <si>
    <t>Informar ante cualquier eventualidad</t>
  </si>
  <si>
    <t>Control Administrativo/entrega de EPPS,monitoreo ocupacional de polvo,exámen ocupacional,rutina de limpieza,programa de mantenimiento,inspección mensual</t>
  </si>
  <si>
    <t>Uso correcto de EPPS</t>
  </si>
  <si>
    <t>Robos o asaltos,ataque , arrastre, lesiones ,secuestro, atropello</t>
  </si>
  <si>
    <t>protocolo ante robo o asalto,charla de 5min SST,cámaras de seguridad exterior</t>
  </si>
  <si>
    <t>Coordinador SIG / Supervisor SST/Todas las areas</t>
  </si>
  <si>
    <t>NO llevar celular en la mano, estar atentos</t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</si>
  <si>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</si>
  <si>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</si>
  <si>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</si>
  <si>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r>
      <rPr>
        <b/>
        <sz val="12"/>
        <color theme="0"/>
        <rFont val="Arial"/>
        <family val="2"/>
      </rPr>
      <t xml:space="preserve">PELIGRO
</t>
    </r>
    <r>
      <rPr>
        <sz val="12"/>
        <color theme="0"/>
        <rFont val="Arial"/>
        <family val="2"/>
      </rPr>
      <t>(considerar actividades, parte de una actividad, el ambiente de trabajo, instalaciones o equipos, materiales, herramientas, etc.)</t>
    </r>
  </si>
  <si>
    <t xml:space="preserve">
1. Emsamblaje
2. Acabado
3. Despacho
4.- Control de calidad</t>
  </si>
  <si>
    <t>METODOLOGIA ISO 45001:2018</t>
  </si>
  <si>
    <t>SEVERIDAD</t>
  </si>
  <si>
    <t>ÍNDICE</t>
  </si>
  <si>
    <r>
      <rPr>
        <b/>
        <sz val="9"/>
        <color theme="0"/>
        <rFont val="Calibri"/>
        <family val="2"/>
      </rPr>
      <t>PROBABILIDAD</t>
    </r>
    <r>
      <rPr>
        <sz val="9"/>
        <color rgb="FFFFFFFF"/>
        <rFont val="Calibri"/>
        <family val="2"/>
      </rPr>
      <t xml:space="preserve"> </t>
    </r>
  </si>
  <si>
    <t>PERSONAS EXPUESTAS
(PE)</t>
  </si>
  <si>
    <t>CONTROLES EXISTENTES
(CE)</t>
  </si>
  <si>
    <t>CAPACITACIÓN 
(C)</t>
  </si>
  <si>
    <t>EXPOSICIÓN AL RIESGO
(ER)</t>
  </si>
  <si>
    <t>LESIÓN O DETERIORO A LA SALUD</t>
  </si>
  <si>
    <t>BAJA</t>
  </si>
  <si>
    <t>MEDIA</t>
  </si>
  <si>
    <t>ALTA</t>
  </si>
  <si>
    <t>De 1 a 3</t>
  </si>
  <si>
    <r>
      <rPr>
        <sz val="9"/>
        <color theme="1"/>
        <rFont val="Calibri"/>
        <family val="2"/>
      </rPr>
      <t>Existen, son satisfactorios y suficientes y</t>
    </r>
    <r>
      <rPr>
        <u/>
        <sz val="9"/>
        <color theme="1"/>
        <rFont val="Calibri"/>
        <family val="2"/>
      </rPr>
      <t xml:space="preserve"> es eficaz</t>
    </r>
  </si>
  <si>
    <t>Personal entrenado,  conoce los peligros, los controles y los previene</t>
  </si>
  <si>
    <t>Persona expuesta al peligro al menos una (1) vez al año o mayores a un año.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</si>
  <si>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Sin Lesión / Lesión sin incapacidad: Pequeños cortes o magulladuras, irritación de los ojos por polvo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Disconfort/Incomodidad (SO): Molestias, dolor de cabeza.
</t>
    </r>
  </si>
  <si>
    <t>PROBABILIDDAD</t>
  </si>
  <si>
    <t>TRIVIAL
4</t>
  </si>
  <si>
    <t>TOLERABLE
5-8</t>
  </si>
  <si>
    <t>MODERADO
9-16</t>
  </si>
  <si>
    <t>De  4 a 12</t>
  </si>
  <si>
    <r>
      <rPr>
        <sz val="9"/>
        <color theme="1"/>
        <rFont val="Calibri"/>
        <family val="2"/>
      </rPr>
      <t xml:space="preserve">Existen parcialmente y no son satisfactorios </t>
    </r>
    <r>
      <rPr>
        <b/>
        <u/>
        <sz val="9"/>
        <color theme="1"/>
        <rFont val="Calibri"/>
        <family val="2"/>
      </rPr>
      <t>y eficaz</t>
    </r>
  </si>
  <si>
    <t>Personal parcialmente entrenado, conoce el peligro pero no toma las acciones de control</t>
  </si>
  <si>
    <t>Personal expuesto al peligro al menos una (1) vez al mes o periodos menores a un año.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</si>
  <si>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Lesión con incapacidad temporal: Fracturas menores, entre otros.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Daño a la salud reversible: Dermatitis, asmas, trastornos músculo-esqueléticos.
</t>
    </r>
  </si>
  <si>
    <t>IMPORTANTE
17-24</t>
  </si>
  <si>
    <t>Más de 12</t>
  </si>
  <si>
    <t xml:space="preserve">No existen </t>
  </si>
  <si>
    <t>Personal no entrenado, no conoce el peligro, no toma acciones de control.</t>
  </si>
  <si>
    <t xml:space="preserve">Personal expuesto al peligro diariamente o en períodos menores a un mes. </t>
  </si>
  <si>
    <r>
      <rPr>
        <b/>
        <u/>
        <sz val="10"/>
        <color theme="1"/>
        <rFont val="Arial"/>
        <family val="2"/>
      </rPr>
      <t>Seguridad</t>
    </r>
    <r>
      <rPr>
        <sz val="10"/>
        <color theme="1"/>
        <rFont val="Arial"/>
        <family val="2"/>
      </rPr>
      <t xml:space="preserve">
Lesión con incapacidad permanente / Muerte (S): Amputaciones, fracturas mayores.
</t>
    </r>
    <r>
      <rPr>
        <b/>
        <u/>
        <sz val="10"/>
        <color theme="1"/>
        <rFont val="Arial"/>
        <family val="2"/>
      </rPr>
      <t>Salud Ocupacional</t>
    </r>
    <r>
      <rPr>
        <sz val="10"/>
        <color theme="1"/>
        <rFont val="Arial"/>
        <family val="2"/>
      </rPr>
      <t xml:space="preserve">
Daño a la salud irreversible (SO): Hipocusia inducido por ruido.
</t>
    </r>
  </si>
  <si>
    <t>NO ACEPTABLE
25 - 36</t>
  </si>
  <si>
    <t>NIVELES DE RIESGO</t>
  </si>
  <si>
    <t>DESCRIPCIÓN</t>
  </si>
  <si>
    <t>NO ACEPTABLE</t>
  </si>
  <si>
    <r>
      <rPr>
        <b/>
        <sz val="14"/>
        <color theme="1"/>
        <rFont val="Arial"/>
        <family val="2"/>
      </rPr>
      <t>Riesgo No Aceptable</t>
    </r>
    <r>
      <rPr>
        <sz val="14"/>
        <color theme="1"/>
        <rFont val="Arial"/>
        <family val="2"/>
      </rPr>
      <t>, requiere controles inmediatos obligatorio. Si no se puede controlar el peligro se paralizan los trabajos</t>
    </r>
  </si>
  <si>
    <t>IMPORTANTE</t>
  </si>
  <si>
    <r>
      <rPr>
        <b/>
        <sz val="14"/>
        <color theme="1"/>
        <rFont val="Arial"/>
        <family val="2"/>
      </rPr>
      <t>Riesgo Aceptable,</t>
    </r>
    <r>
      <rPr>
        <sz val="14"/>
        <color theme="1"/>
        <rFont val="Arial"/>
        <family val="2"/>
      </rPr>
      <t xml:space="preserve"> es recomendable proponer controles para reducir el riesgos, Mantener una vigilancia de la eficacia de los controles existentes.</t>
    </r>
  </si>
  <si>
    <t>MODERADO</t>
  </si>
  <si>
    <r>
      <rPr>
        <b/>
        <sz val="14"/>
        <color theme="1"/>
        <rFont val="Arial"/>
        <family val="2"/>
      </rPr>
      <t xml:space="preserve">Riesgo Aceptable: </t>
    </r>
    <r>
      <rPr>
        <sz val="14"/>
        <color theme="1"/>
        <rFont val="Arial"/>
        <family val="2"/>
      </rPr>
      <t>Mantener una vigilancia de  la eficacia de los controles existentes y si es viable reducir el riesgo</t>
    </r>
  </si>
  <si>
    <t>TOLERABLE-TRIVIAL</t>
  </si>
  <si>
    <r>
      <rPr>
        <b/>
        <sz val="14"/>
        <color theme="1"/>
        <rFont val="Arial"/>
        <family val="2"/>
      </rPr>
      <t>Riesgo Aceptable</t>
    </r>
    <r>
      <rPr>
        <sz val="14"/>
        <color theme="1"/>
        <rFont val="Arial"/>
        <family val="2"/>
      </rPr>
      <t>: Mantener una vigilancia de  la eficacia de los controles existentes</t>
    </r>
  </si>
  <si>
    <t>Riesgos psicosociales</t>
  </si>
  <si>
    <t>Superficies en pendientes y superficies a desnivel</t>
  </si>
  <si>
    <t>Fecha de última revisión:   17/04/2024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</si>
</sst>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4" x14ac:knownFonts="1">
    <font>
      <sz val="11"/>
      <color theme="1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rgb="FF000000"/>
      <name val="Arial"/>
      <family val="2"/>
    </font>
    <font>
      <sz val="11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sz val="11"/>
      <name val="Calibri"/>
      <family val="2"/>
    </font>
    <font>
      <b/>
      <sz val="12"/>
      <color rgb="FFFFFFFF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02124"/>
      <name val="Arial"/>
      <family val="2"/>
    </font>
    <font>
      <b/>
      <sz val="20"/>
      <color theme="1"/>
      <name val="Arial"/>
      <family val="2"/>
    </font>
    <font>
      <b/>
      <sz val="9"/>
      <color theme="0"/>
      <name val="Calibri"/>
      <family val="2"/>
    </font>
    <font>
      <b/>
      <sz val="9"/>
      <color theme="1"/>
      <name val="Calibri"/>
      <family val="2"/>
    </font>
    <font>
      <b/>
      <sz val="8"/>
      <color theme="1"/>
      <name val="Arial"/>
      <family val="2"/>
    </font>
    <font>
      <sz val="9"/>
      <color theme="1"/>
      <name val="Calibri"/>
      <family val="2"/>
    </font>
    <font>
      <sz val="16"/>
      <color theme="1"/>
      <name val="Arial"/>
      <family val="2"/>
    </font>
    <font>
      <sz val="16"/>
      <color theme="0"/>
      <name val="Arial"/>
      <family val="2"/>
    </font>
    <font>
      <b/>
      <sz val="20"/>
      <color theme="1"/>
      <name val="Calibri"/>
      <family val="2"/>
    </font>
    <font>
      <b/>
      <sz val="16"/>
      <color theme="1"/>
      <name val="Calibri"/>
      <family val="2"/>
    </font>
    <font>
      <sz val="12"/>
      <color theme="0"/>
      <name val="Arial"/>
      <family val="2"/>
    </font>
    <font>
      <sz val="9"/>
      <color rgb="FFFFFFFF"/>
      <name val="Calibri"/>
      <family val="2"/>
    </font>
    <font>
      <u/>
      <sz val="9"/>
      <color theme="1"/>
      <name val="Calibri"/>
      <family val="2"/>
    </font>
    <font>
      <b/>
      <u/>
      <sz val="10"/>
      <color theme="1"/>
      <name val="Arial"/>
      <family val="2"/>
    </font>
    <font>
      <b/>
      <u/>
      <sz val="9"/>
      <color theme="1"/>
      <name val="Calibri"/>
      <family val="2"/>
    </font>
    <font>
      <b/>
      <sz val="14"/>
      <color theme="1"/>
      <name val="Arial"/>
      <family val="2"/>
    </font>
    <font>
      <u/>
      <sz val="12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C000"/>
        <bgColor rgb="FFFFC000"/>
      </patternFill>
    </fill>
    <fill>
      <patternFill patternType="solid">
        <fgColor rgb="FFC8C8C8"/>
        <bgColor rgb="FFC8C8C8"/>
      </patternFill>
    </fill>
    <fill>
      <patternFill patternType="solid">
        <fgColor rgb="FFFFD965"/>
        <bgColor rgb="FFFFD965"/>
      </patternFill>
    </fill>
    <fill>
      <patternFill patternType="solid">
        <fgColor rgb="FFFFFF00"/>
        <bgColor rgb="FFFFFF00"/>
      </patternFill>
    </fill>
    <fill>
      <patternFill patternType="solid">
        <fgColor rgb="FF5AC957"/>
        <bgColor rgb="FF5AC957"/>
      </patternFill>
    </fill>
    <fill>
      <patternFill patternType="solid">
        <fgColor rgb="FF00B050"/>
        <bgColor rgb="FF00B050"/>
      </patternFill>
    </fill>
    <fill>
      <patternFill patternType="solid">
        <fgColor rgb="FFE7E6E6"/>
        <bgColor rgb="FFE7E6E6"/>
      </patternFill>
    </fill>
    <fill>
      <patternFill patternType="solid">
        <fgColor rgb="FF8496B0"/>
        <bgColor rgb="FF8496B0"/>
      </patternFill>
    </fill>
    <fill>
      <patternFill patternType="solid">
        <fgColor rgb="FFF2F2F2"/>
        <bgColor rgb="FFF2F2F2"/>
      </patternFill>
    </fill>
    <fill>
      <patternFill patternType="solid">
        <fgColor rgb="FFC00000"/>
        <bgColor rgb="FFC00000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textRotation="90" wrapText="1"/>
    </xf>
    <xf numFmtId="0" fontId="11" fillId="4" borderId="12" xfId="0" applyFont="1" applyFill="1" applyBorder="1" applyAlignment="1">
      <alignment horizontal="center" vertical="center" textRotation="90" wrapText="1"/>
    </xf>
    <xf numFmtId="0" fontId="5" fillId="7" borderId="12" xfId="0" applyFont="1" applyFill="1" applyBorder="1" applyAlignment="1">
      <alignment horizontal="center" vertical="center" textRotation="90" wrapText="1"/>
    </xf>
    <xf numFmtId="0" fontId="14" fillId="0" borderId="8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1" fontId="15" fillId="0" borderId="8" xfId="0" applyNumberFormat="1" applyFont="1" applyBorder="1" applyAlignment="1">
      <alignment horizontal="center" vertical="center" wrapText="1"/>
    </xf>
    <xf numFmtId="164" fontId="15" fillId="0" borderId="8" xfId="0" applyNumberFormat="1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wrapText="1"/>
    </xf>
    <xf numFmtId="0" fontId="15" fillId="2" borderId="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wrapText="1"/>
    </xf>
    <xf numFmtId="164" fontId="15" fillId="8" borderId="8" xfId="0" applyNumberFormat="1" applyFont="1" applyFill="1" applyBorder="1" applyAlignment="1">
      <alignment horizontal="center" vertical="center" wrapText="1"/>
    </xf>
    <xf numFmtId="164" fontId="15" fillId="9" borderId="8" xfId="0" applyNumberFormat="1" applyFont="1" applyFill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5" fillId="2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/>
    </xf>
    <xf numFmtId="164" fontId="15" fillId="10" borderId="8" xfId="0" applyNumberFormat="1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16" fillId="2" borderId="8" xfId="0" applyFont="1" applyFill="1" applyBorder="1" applyAlignment="1">
      <alignment horizontal="left" wrapText="1"/>
    </xf>
    <xf numFmtId="0" fontId="15" fillId="2" borderId="8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8" fillId="2" borderId="1" xfId="0" applyFont="1" applyFill="1" applyBorder="1"/>
    <xf numFmtId="0" fontId="6" fillId="0" borderId="0" xfId="0" applyFont="1" applyAlignment="1">
      <alignment vertic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15" fillId="2" borderId="17" xfId="0" applyFont="1" applyFill="1" applyBorder="1" applyAlignment="1">
      <alignment vertical="center" wrapText="1"/>
    </xf>
    <xf numFmtId="0" fontId="15" fillId="3" borderId="8" xfId="0" applyFont="1" applyFill="1" applyBorder="1" applyAlignment="1">
      <alignment horizontal="center" vertical="center"/>
    </xf>
    <xf numFmtId="0" fontId="20" fillId="13" borderId="29" xfId="0" applyFont="1" applyFill="1" applyBorder="1" applyAlignment="1">
      <alignment horizontal="center" vertical="center" wrapText="1"/>
    </xf>
    <xf numFmtId="0" fontId="20" fillId="13" borderId="30" xfId="0" applyFont="1" applyFill="1" applyBorder="1" applyAlignment="1">
      <alignment horizontal="center" vertical="center" wrapText="1"/>
    </xf>
    <xf numFmtId="0" fontId="20" fillId="13" borderId="31" xfId="0" applyFont="1" applyFill="1" applyBorder="1" applyAlignment="1">
      <alignment horizontal="center" vertical="center" wrapText="1"/>
    </xf>
    <xf numFmtId="0" fontId="20" fillId="13" borderId="32" xfId="0" applyFont="1" applyFill="1" applyBorder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2" xfId="0" applyFont="1" applyBorder="1" applyAlignment="1">
      <alignment horizontal="left" vertical="center" wrapText="1"/>
    </xf>
    <xf numFmtId="0" fontId="22" fillId="0" borderId="33" xfId="0" applyFont="1" applyBorder="1" applyAlignment="1">
      <alignment horizontal="left" vertical="center" wrapText="1"/>
    </xf>
    <xf numFmtId="0" fontId="22" fillId="0" borderId="34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center" vertical="center" wrapText="1"/>
    </xf>
    <xf numFmtId="0" fontId="20" fillId="13" borderId="36" xfId="0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left" vertical="center" wrapText="1"/>
    </xf>
    <xf numFmtId="0" fontId="22" fillId="0" borderId="38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33" fillId="0" borderId="42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16" fillId="0" borderId="43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/>
    </xf>
    <xf numFmtId="0" fontId="15" fillId="2" borderId="16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2" borderId="43" xfId="0" applyFont="1" applyFill="1" applyBorder="1" applyAlignment="1">
      <alignment horizontal="center" vertical="center" wrapText="1"/>
    </xf>
    <xf numFmtId="0" fontId="15" fillId="2" borderId="43" xfId="0" applyFont="1" applyFill="1" applyBorder="1" applyAlignment="1">
      <alignment horizontal="center" vertical="center"/>
    </xf>
    <xf numFmtId="0" fontId="17" fillId="0" borderId="43" xfId="0" applyFont="1" applyBorder="1" applyAlignment="1">
      <alignment horizontal="center" vertical="center" wrapText="1"/>
    </xf>
    <xf numFmtId="0" fontId="33" fillId="0" borderId="43" xfId="0" applyFont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/>
    </xf>
    <xf numFmtId="0" fontId="6" fillId="2" borderId="1" xfId="0" applyFont="1" applyFill="1" applyBorder="1"/>
    <xf numFmtId="0" fontId="14" fillId="2" borderId="43" xfId="0" applyFont="1" applyFill="1" applyBorder="1" applyAlignment="1">
      <alignment horizontal="center" vertical="center" wrapText="1"/>
    </xf>
    <xf numFmtId="0" fontId="15" fillId="2" borderId="43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12" fillId="0" borderId="6" xfId="0" applyFont="1" applyBorder="1"/>
    <xf numFmtId="0" fontId="12" fillId="0" borderId="7" xfId="0" applyFont="1" applyBorder="1"/>
    <xf numFmtId="0" fontId="5" fillId="7" borderId="5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textRotation="90" wrapText="1"/>
    </xf>
    <xf numFmtId="0" fontId="12" fillId="0" borderId="15" xfId="0" applyFont="1" applyBorder="1"/>
    <xf numFmtId="0" fontId="5" fillId="6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2" fillId="0" borderId="9" xfId="0" applyFont="1" applyBorder="1"/>
    <xf numFmtId="0" fontId="12" fillId="0" borderId="16" xfId="0" applyFont="1" applyBorder="1"/>
    <xf numFmtId="0" fontId="11" fillId="4" borderId="3" xfId="0" applyFont="1" applyFill="1" applyBorder="1" applyAlignment="1">
      <alignment horizontal="center" vertical="center" wrapText="1"/>
    </xf>
    <xf numFmtId="0" fontId="12" fillId="0" borderId="4" xfId="0" applyFont="1" applyBorder="1"/>
    <xf numFmtId="0" fontId="12" fillId="0" borderId="10" xfId="0" applyFont="1" applyBorder="1"/>
    <xf numFmtId="0" fontId="12" fillId="0" borderId="11" xfId="0" applyFont="1" applyBorder="1"/>
    <xf numFmtId="0" fontId="12" fillId="0" borderId="13" xfId="0" applyFont="1" applyBorder="1"/>
    <xf numFmtId="0" fontId="12" fillId="0" borderId="14" xfId="0" applyFont="1" applyBorder="1"/>
    <xf numFmtId="0" fontId="12" fillId="0" borderId="17" xfId="0" applyFont="1" applyBorder="1"/>
    <xf numFmtId="0" fontId="13" fillId="4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2" borderId="17" xfId="0" applyFont="1" applyFill="1" applyBorder="1" applyAlignment="1">
      <alignment horizontal="center" vertical="center" wrapText="1"/>
    </xf>
    <xf numFmtId="0" fontId="15" fillId="2" borderId="16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horizontal="center" vertical="center" wrapText="1"/>
    </xf>
    <xf numFmtId="0" fontId="6" fillId="3" borderId="27" xfId="0" applyFont="1" applyFill="1" applyBorder="1" applyAlignment="1">
      <alignment horizontal="center" vertical="center" wrapText="1"/>
    </xf>
    <xf numFmtId="0" fontId="23" fillId="3" borderId="27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6" xfId="0" applyFont="1" applyBorder="1" applyAlignment="1">
      <alignment horizontal="center" vertical="center" wrapText="1"/>
    </xf>
    <xf numFmtId="0" fontId="7" fillId="11" borderId="5" xfId="0" applyFont="1" applyFill="1" applyBorder="1" applyAlignment="1">
      <alignment horizontal="center"/>
    </xf>
    <xf numFmtId="0" fontId="18" fillId="4" borderId="18" xfId="0" applyFont="1" applyFill="1" applyBorder="1" applyAlignment="1">
      <alignment horizontal="center"/>
    </xf>
    <xf numFmtId="0" fontId="12" fillId="0" borderId="19" xfId="0" applyFont="1" applyBorder="1"/>
    <xf numFmtId="0" fontId="12" fillId="0" borderId="20" xfId="0" applyFont="1" applyBorder="1"/>
    <xf numFmtId="0" fontId="12" fillId="0" borderId="25" xfId="0" applyFont="1" applyBorder="1"/>
    <xf numFmtId="0" fontId="12" fillId="0" borderId="26" xfId="0" applyFont="1" applyBorder="1"/>
    <xf numFmtId="0" fontId="12" fillId="0" borderId="27" xfId="0" applyFont="1" applyBorder="1"/>
    <xf numFmtId="0" fontId="19" fillId="12" borderId="21" xfId="0" applyFont="1" applyFill="1" applyBorder="1" applyAlignment="1">
      <alignment horizontal="center" vertical="center" wrapText="1"/>
    </xf>
    <xf numFmtId="0" fontId="12" fillId="0" borderId="28" xfId="0" applyFont="1" applyBorder="1"/>
    <xf numFmtId="0" fontId="19" fillId="12" borderId="22" xfId="0" applyFont="1" applyFill="1" applyBorder="1" applyAlignment="1">
      <alignment horizontal="center" vertical="center" wrapText="1"/>
    </xf>
    <xf numFmtId="0" fontId="12" fillId="0" borderId="23" xfId="0" applyFont="1" applyBorder="1"/>
    <xf numFmtId="0" fontId="12" fillId="0" borderId="24" xfId="0" applyFont="1" applyBorder="1"/>
    <xf numFmtId="0" fontId="21" fillId="11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23" fillId="8" borderId="5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2" fillId="0" borderId="5" xfId="0" applyFont="1" applyBorder="1" applyAlignment="1">
      <alignment vertical="top" wrapText="1"/>
    </xf>
    <xf numFmtId="0" fontId="24" fillId="14" borderId="5" xfId="0" applyFont="1" applyFill="1" applyBorder="1" applyAlignment="1">
      <alignment horizontal="center" vertical="center" wrapText="1"/>
    </xf>
    <xf numFmtId="0" fontId="18" fillId="4" borderId="35" xfId="0" applyFont="1" applyFill="1" applyBorder="1" applyAlignment="1">
      <alignment horizontal="center" vertical="center" textRotation="90" wrapText="1"/>
    </xf>
    <xf numFmtId="0" fontId="12" fillId="0" borderId="39" xfId="0" applyFont="1" applyBorder="1"/>
    <xf numFmtId="0" fontId="12" fillId="0" borderId="40" xfId="0" applyFont="1" applyBorder="1"/>
    <xf numFmtId="0" fontId="23" fillId="10" borderId="5" xfId="0" applyFont="1" applyFill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top" wrapText="1"/>
    </xf>
    <xf numFmtId="0" fontId="12" fillId="0" borderId="41" xfId="0" applyFont="1" applyBorder="1"/>
    <xf numFmtId="0" fontId="25" fillId="11" borderId="3" xfId="0" applyFont="1" applyFill="1" applyBorder="1" applyAlignment="1">
      <alignment horizontal="center"/>
    </xf>
    <xf numFmtId="0" fontId="26" fillId="11" borderId="3" xfId="0" applyFont="1" applyFill="1" applyBorder="1" applyAlignment="1">
      <alignment horizontal="center"/>
    </xf>
    <xf numFmtId="0" fontId="26" fillId="14" borderId="2" xfId="0" applyFont="1" applyFill="1" applyBorder="1" applyAlignment="1">
      <alignment horizontal="center"/>
    </xf>
    <xf numFmtId="0" fontId="26" fillId="5" borderId="2" xfId="0" applyFont="1" applyFill="1" applyBorder="1" applyAlignment="1">
      <alignment horizontal="center"/>
    </xf>
    <xf numFmtId="0" fontId="26" fillId="8" borderId="2" xfId="0" applyFont="1" applyFill="1" applyBorder="1" applyAlignment="1">
      <alignment horizontal="center"/>
    </xf>
    <xf numFmtId="0" fontId="26" fillId="10" borderId="2" xfId="0" applyFont="1" applyFill="1" applyBorder="1" applyAlignment="1">
      <alignment horizontal="center"/>
    </xf>
  </cellXfs>
  <cellStyles count="1">
    <cellStyle name="Normal" xfId="0" builtinId="0"/>
  </cellStyles>
  <dxfs count="136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00CC66"/>
          <bgColor rgb="FF00CC66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25401</xdr:colOff>
      <xdr:row>0</xdr:row>
      <xdr:rowOff>63498</xdr:rowOff>
    </xdr:from>
    <xdr:ext cx="14392274" cy="1079501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6159501" y="63498"/>
          <a:ext cx="14392274" cy="1079501"/>
          <a:chOff x="-3998024" y="3308511"/>
          <a:chExt cx="14392274" cy="1079501"/>
        </a:xfrm>
      </xdr:grpSpPr>
      <xdr:grpSp>
        <xdr:nvGrpSpPr>
          <xdr:cNvPr id="49" name="Shape 49">
            <a:extLst>
              <a:ext uri="{FF2B5EF4-FFF2-40B4-BE49-F238E27FC236}">
                <a16:creationId xmlns:a16="http://schemas.microsoft.com/office/drawing/2014/main" id="{00000000-0008-0000-0100-000031000000}"/>
              </a:ext>
            </a:extLst>
          </xdr:cNvPr>
          <xdr:cNvGrpSpPr/>
        </xdr:nvGrpSpPr>
        <xdr:grpSpPr>
          <a:xfrm>
            <a:off x="-3998024" y="3308511"/>
            <a:ext cx="14392274" cy="1079501"/>
            <a:chOff x="-3998024" y="3308511"/>
            <a:chExt cx="14392274" cy="1079501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1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/>
            </a:p>
          </xdr:txBody>
        </xdr:sp>
        <xdr:grpSp>
          <xdr:nvGrpSpPr>
            <xdr:cNvPr id="50" name="Shape 50">
              <a:extLst>
                <a:ext uri="{FF2B5EF4-FFF2-40B4-BE49-F238E27FC236}">
                  <a16:creationId xmlns:a16="http://schemas.microsoft.com/office/drawing/2014/main" id="{00000000-0008-0000-0100-000032000000}"/>
                </a:ext>
              </a:extLst>
            </xdr:cNvPr>
            <xdr:cNvGrpSpPr/>
          </xdr:nvGrpSpPr>
          <xdr:grpSpPr>
            <a:xfrm>
              <a:off x="-3998024" y="3308511"/>
              <a:ext cx="14392274" cy="1079501"/>
              <a:chOff x="-3998024" y="3308511"/>
              <a:chExt cx="14392274" cy="1079501"/>
            </a:xfrm>
          </xdr:grpSpPr>
          <xdr:sp macro="" textlink="">
            <xdr:nvSpPr>
              <xdr:cNvPr id="51" name="Shape 51">
                <a:extLst>
                  <a:ext uri="{FF2B5EF4-FFF2-40B4-BE49-F238E27FC236}">
                    <a16:creationId xmlns:a16="http://schemas.microsoft.com/office/drawing/2014/main" id="{00000000-0008-0000-0100-000033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000"/>
              </a:p>
            </xdr:txBody>
          </xdr:sp>
          <xdr:grpSp>
            <xdr:nvGrpSpPr>
              <xdr:cNvPr id="52" name="Shape 52">
                <a:extLst>
                  <a:ext uri="{FF2B5EF4-FFF2-40B4-BE49-F238E27FC236}">
                    <a16:creationId xmlns:a16="http://schemas.microsoft.com/office/drawing/2014/main" id="{00000000-0008-0000-0100-000034000000}"/>
                  </a:ext>
                </a:extLst>
              </xdr:cNvPr>
              <xdr:cNvGrpSpPr/>
            </xdr:nvGrpSpPr>
            <xdr:grpSpPr>
              <a:xfrm>
                <a:off x="-3998024" y="3308511"/>
                <a:ext cx="14392274" cy="1079501"/>
                <a:chOff x="-3998024" y="3308511"/>
                <a:chExt cx="14392274" cy="1079501"/>
              </a:xfrm>
            </xdr:grpSpPr>
            <xdr:sp macro="" textlink="">
              <xdr:nvSpPr>
                <xdr:cNvPr id="53" name="Shape 53">
                  <a:extLst>
                    <a:ext uri="{FF2B5EF4-FFF2-40B4-BE49-F238E27FC236}">
                      <a16:creationId xmlns:a16="http://schemas.microsoft.com/office/drawing/2014/main" id="{00000000-0008-0000-0100-000035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000"/>
                </a:p>
              </xdr:txBody>
            </xdr:sp>
            <xdr:grpSp>
              <xdr:nvGrpSpPr>
                <xdr:cNvPr id="54" name="Shape 54">
                  <a:extLst>
                    <a:ext uri="{FF2B5EF4-FFF2-40B4-BE49-F238E27FC236}">
                      <a16:creationId xmlns:a16="http://schemas.microsoft.com/office/drawing/2014/main" id="{00000000-0008-0000-0100-000036000000}"/>
                    </a:ext>
                  </a:extLst>
                </xdr:cNvPr>
                <xdr:cNvGrpSpPr/>
              </xdr:nvGrpSpPr>
              <xdr:grpSpPr>
                <a:xfrm>
                  <a:off x="-3998024" y="3308511"/>
                  <a:ext cx="14392274" cy="1079501"/>
                  <a:chOff x="-3998024" y="3308511"/>
                  <a:chExt cx="14392274" cy="1079501"/>
                </a:xfrm>
              </xdr:grpSpPr>
              <xdr:sp macro="" textlink="">
                <xdr:nvSpPr>
                  <xdr:cNvPr id="55" name="Shape 55">
                    <a:extLst>
                      <a:ext uri="{FF2B5EF4-FFF2-40B4-BE49-F238E27FC236}">
                        <a16:creationId xmlns:a16="http://schemas.microsoft.com/office/drawing/2014/main" id="{00000000-0008-0000-0100-000037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000"/>
                  </a:p>
                </xdr:txBody>
              </xdr:sp>
              <xdr:grpSp>
                <xdr:nvGrpSpPr>
                  <xdr:cNvPr id="56" name="Shape 56">
                    <a:extLst>
                      <a:ext uri="{FF2B5EF4-FFF2-40B4-BE49-F238E27FC236}">
                        <a16:creationId xmlns:a16="http://schemas.microsoft.com/office/drawing/2014/main" id="{00000000-0008-0000-0100-000038000000}"/>
                      </a:ext>
                    </a:extLst>
                  </xdr:cNvPr>
                  <xdr:cNvGrpSpPr/>
                </xdr:nvGrpSpPr>
                <xdr:grpSpPr>
                  <a:xfrm>
                    <a:off x="-3998024" y="3308511"/>
                    <a:ext cx="14392274" cy="1079501"/>
                    <a:chOff x="-4236031" y="3104010"/>
                    <a:chExt cx="14758870" cy="1547718"/>
                  </a:xfrm>
                </xdr:grpSpPr>
                <xdr:sp macro="" textlink="">
                  <xdr:nvSpPr>
                    <xdr:cNvPr id="57" name="Shape 57">
                      <a:extLst>
                        <a:ext uri="{FF2B5EF4-FFF2-40B4-BE49-F238E27FC236}">
                          <a16:creationId xmlns:a16="http://schemas.microsoft.com/office/drawing/2014/main" id="{00000000-0008-0000-0100-000039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000"/>
                    </a:p>
                  </xdr:txBody>
                </xdr:sp>
                <xdr:grpSp>
                  <xdr:nvGrpSpPr>
                    <xdr:cNvPr id="58" name="Shape 58" title="Dibujo">
                      <a:extLst>
                        <a:ext uri="{FF2B5EF4-FFF2-40B4-BE49-F238E27FC236}">
                          <a16:creationId xmlns:a16="http://schemas.microsoft.com/office/drawing/2014/main" id="{00000000-0008-0000-0100-00003A000000}"/>
                        </a:ext>
                      </a:extLst>
                    </xdr:cNvPr>
                    <xdr:cNvGrpSpPr/>
                  </xdr:nvGrpSpPr>
                  <xdr:grpSpPr>
                    <a:xfrm>
                      <a:off x="-4236031" y="3104010"/>
                      <a:ext cx="14758870" cy="1547718"/>
                      <a:chOff x="-4236031" y="3104010"/>
                      <a:chExt cx="14758871" cy="1547718"/>
                    </a:xfrm>
                  </xdr:grpSpPr>
                  <xdr:sp macro="" textlink="">
                    <xdr:nvSpPr>
                      <xdr:cNvPr id="59" name="Shape 59">
                        <a:extLst>
                          <a:ext uri="{FF2B5EF4-FFF2-40B4-BE49-F238E27FC236}">
                            <a16:creationId xmlns:a16="http://schemas.microsoft.com/office/drawing/2014/main" id="{00000000-0008-0000-0100-00003B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000"/>
                      </a:p>
                    </xdr:txBody>
                  </xdr:sp>
                  <xdr:grpSp>
                    <xdr:nvGrpSpPr>
                      <xdr:cNvPr id="60" name="Shape 60">
                        <a:extLst>
                          <a:ext uri="{FF2B5EF4-FFF2-40B4-BE49-F238E27FC236}">
                            <a16:creationId xmlns:a16="http://schemas.microsoft.com/office/drawing/2014/main" id="{00000000-0008-0000-0100-00003C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4236031" y="3104010"/>
                        <a:ext cx="14758871" cy="1547718"/>
                        <a:chOff x="-4236031" y="3104010"/>
                        <a:chExt cx="14758868" cy="1547718"/>
                      </a:xfrm>
                    </xdr:grpSpPr>
                    <xdr:sp macro="" textlink="">
                      <xdr:nvSpPr>
                        <xdr:cNvPr id="61" name="Shape 61">
                          <a:extLst>
                            <a:ext uri="{FF2B5EF4-FFF2-40B4-BE49-F238E27FC236}">
                              <a16:creationId xmlns:a16="http://schemas.microsoft.com/office/drawing/2014/main" id="{00000000-0008-0000-0100-00003D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000"/>
                        </a:p>
                      </xdr:txBody>
                    </xdr:sp>
                    <xdr:grpSp>
                      <xdr:nvGrpSpPr>
                        <xdr:cNvPr id="62" name="Shape 62">
                          <a:extLst>
                            <a:ext uri="{FF2B5EF4-FFF2-40B4-BE49-F238E27FC236}">
                              <a16:creationId xmlns:a16="http://schemas.microsoft.com/office/drawing/2014/main" id="{00000000-0008-0000-0100-00003E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4236031" y="3104010"/>
                          <a:ext cx="14758868" cy="1547718"/>
                          <a:chOff x="-6381117" y="-250344"/>
                          <a:chExt cx="13999789" cy="1799012"/>
                        </a:xfrm>
                      </xdr:grpSpPr>
                      <xdr:sp macro="" textlink="">
                        <xdr:nvSpPr>
                          <xdr:cNvPr id="63" name="Shape 63">
                            <a:extLst>
                              <a:ext uri="{FF2B5EF4-FFF2-40B4-BE49-F238E27FC236}">
                                <a16:creationId xmlns:a16="http://schemas.microsoft.com/office/drawing/2014/main" id="{00000000-0008-0000-0100-00003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2000"/>
                          </a:p>
                        </xdr:txBody>
                      </xdr:sp>
                      <xdr:sp macro="" textlink="">
                        <xdr:nvSpPr>
                          <xdr:cNvPr id="64" name="Shape 64">
                            <a:extLst>
                              <a:ext uri="{FF2B5EF4-FFF2-40B4-BE49-F238E27FC236}">
                                <a16:creationId xmlns:a16="http://schemas.microsoft.com/office/drawing/2014/main" id="{00000000-0008-0000-0100-00004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65" name="Shape 65">
                            <a:extLst>
                              <a:ext uri="{FF2B5EF4-FFF2-40B4-BE49-F238E27FC236}">
                                <a16:creationId xmlns:a16="http://schemas.microsoft.com/office/drawing/2014/main" id="{00000000-0008-0000-0100-000041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66" name="Shape 66">
                            <a:extLst>
                              <a:ext uri="{FF2B5EF4-FFF2-40B4-BE49-F238E27FC236}">
                                <a16:creationId xmlns:a16="http://schemas.microsoft.com/office/drawing/2014/main" id="{00000000-0008-0000-0100-000042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67" name="Shape 67">
                            <a:extLst>
                              <a:ext uri="{FF2B5EF4-FFF2-40B4-BE49-F238E27FC236}">
                                <a16:creationId xmlns:a16="http://schemas.microsoft.com/office/drawing/2014/main" id="{00000000-0008-0000-0100-000043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68" name="Shape 68">
                            <a:extLst>
                              <a:ext uri="{FF2B5EF4-FFF2-40B4-BE49-F238E27FC236}">
                                <a16:creationId xmlns:a16="http://schemas.microsoft.com/office/drawing/2014/main" id="{00000000-0008-0000-0100-000044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69" name="Shape 69">
                            <a:extLst>
                              <a:ext uri="{FF2B5EF4-FFF2-40B4-BE49-F238E27FC236}">
                                <a16:creationId xmlns:a16="http://schemas.microsoft.com/office/drawing/2014/main" id="{00000000-0008-0000-0100-000045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0" name="Shape 70">
                            <a:extLst>
                              <a:ext uri="{FF2B5EF4-FFF2-40B4-BE49-F238E27FC236}">
                                <a16:creationId xmlns:a16="http://schemas.microsoft.com/office/drawing/2014/main" id="{00000000-0008-0000-0100-00004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1" name="Shape 71">
                            <a:extLst>
                              <a:ext uri="{FF2B5EF4-FFF2-40B4-BE49-F238E27FC236}">
                                <a16:creationId xmlns:a16="http://schemas.microsoft.com/office/drawing/2014/main" id="{00000000-0008-0000-0100-000047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2" name="Shape 72">
                            <a:extLst>
                              <a:ext uri="{FF2B5EF4-FFF2-40B4-BE49-F238E27FC236}">
                                <a16:creationId xmlns:a16="http://schemas.microsoft.com/office/drawing/2014/main" id="{00000000-0008-0000-0100-00004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3" name="Shape 73">
                            <a:extLst>
                              <a:ext uri="{FF2B5EF4-FFF2-40B4-BE49-F238E27FC236}">
                                <a16:creationId xmlns:a16="http://schemas.microsoft.com/office/drawing/2014/main" id="{00000000-0008-0000-0100-000049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74" name="Shape 74">
                            <a:extLst>
                              <a:ext uri="{FF2B5EF4-FFF2-40B4-BE49-F238E27FC236}">
                                <a16:creationId xmlns:a16="http://schemas.microsoft.com/office/drawing/2014/main" id="{00000000-0008-0000-0100-00004A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44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5400"/>
                          </a:p>
                        </xdr:txBody>
                      </xdr:sp>
                      <xdr:pic>
                        <xdr:nvPicPr>
                          <xdr:cNvPr id="75" name="Shape 75">
                            <a:extLst>
                              <a:ext uri="{FF2B5EF4-FFF2-40B4-BE49-F238E27FC236}">
                                <a16:creationId xmlns:a16="http://schemas.microsoft.com/office/drawing/2014/main" id="{00000000-0008-0000-0100-00004B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 t="16470" b="22353"/>
                          <a:stretch/>
                        </xdr:blipFill>
                        <xdr:spPr>
                          <a:xfrm>
                            <a:off x="-6381117" y="-250344"/>
                            <a:ext cx="4879696" cy="1799012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19050</xdr:colOff>
      <xdr:row>37</xdr:row>
      <xdr:rowOff>19050</xdr:rowOff>
    </xdr:from>
    <xdr:ext cx="8382000" cy="27241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660600" y="18554700"/>
          <a:ext cx="8382000" cy="272415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37</xdr:row>
      <xdr:rowOff>1</xdr:rowOff>
    </xdr:from>
    <xdr:ext cx="17364529" cy="3009900"/>
    <xdr:grpSp>
      <xdr:nvGrpSpPr>
        <xdr:cNvPr id="36" name="Shape 2" title="Dibujo">
          <a:extLst>
            <a:ext uri="{FF2B5EF4-FFF2-40B4-BE49-F238E27FC236}">
              <a16:creationId xmlns:a16="http://schemas.microsoft.com/office/drawing/2014/main" id="{E08FAC5D-5773-4A94-98FE-44B1CE762EDF}"/>
            </a:ext>
          </a:extLst>
        </xdr:cNvPr>
        <xdr:cNvGrpSpPr/>
      </xdr:nvGrpSpPr>
      <xdr:grpSpPr>
        <a:xfrm>
          <a:off x="5499100" y="18897601"/>
          <a:ext cx="17364529" cy="3009900"/>
          <a:chOff x="1355035" y="3194243"/>
          <a:chExt cx="7982205" cy="1172335"/>
        </a:xfrm>
      </xdr:grpSpPr>
      <xdr:grpSp>
        <xdr:nvGrpSpPr>
          <xdr:cNvPr id="37" name="Shape 25">
            <a:extLst>
              <a:ext uri="{FF2B5EF4-FFF2-40B4-BE49-F238E27FC236}">
                <a16:creationId xmlns:a16="http://schemas.microsoft.com/office/drawing/2014/main" id="{2507E42A-9A8C-472A-BED0-B2269DD043A9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38" name="Shape 4">
              <a:extLst>
                <a:ext uri="{FF2B5EF4-FFF2-40B4-BE49-F238E27FC236}">
                  <a16:creationId xmlns:a16="http://schemas.microsoft.com/office/drawing/2014/main" id="{34671746-BF75-40BA-A548-5570A65EC3A0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/>
            </a:p>
          </xdr:txBody>
        </xdr:sp>
        <xdr:grpSp>
          <xdr:nvGrpSpPr>
            <xdr:cNvPr id="39" name="Shape 26">
              <a:extLst>
                <a:ext uri="{FF2B5EF4-FFF2-40B4-BE49-F238E27FC236}">
                  <a16:creationId xmlns:a16="http://schemas.microsoft.com/office/drawing/2014/main" id="{FAB828AE-95DE-4291-88DA-EAC1B976353E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40" name="Shape 27">
                <a:extLst>
                  <a:ext uri="{FF2B5EF4-FFF2-40B4-BE49-F238E27FC236}">
                    <a16:creationId xmlns:a16="http://schemas.microsoft.com/office/drawing/2014/main" id="{8BD67803-7715-4C16-8E1E-E43B587C9393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800"/>
              </a:p>
            </xdr:txBody>
          </xdr:sp>
          <xdr:grpSp>
            <xdr:nvGrpSpPr>
              <xdr:cNvPr id="41" name="Shape 28">
                <a:extLst>
                  <a:ext uri="{FF2B5EF4-FFF2-40B4-BE49-F238E27FC236}">
                    <a16:creationId xmlns:a16="http://schemas.microsoft.com/office/drawing/2014/main" id="{67BFFE65-0921-4C79-9445-3F9A60353B4C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42" name="Shape 29">
                  <a:extLst>
                    <a:ext uri="{FF2B5EF4-FFF2-40B4-BE49-F238E27FC236}">
                      <a16:creationId xmlns:a16="http://schemas.microsoft.com/office/drawing/2014/main" id="{B8C77051-9E6E-4A03-9C91-03C93EFB0736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800"/>
                </a:p>
              </xdr:txBody>
            </xdr:sp>
            <xdr:grpSp>
              <xdr:nvGrpSpPr>
                <xdr:cNvPr id="43" name="Shape 30">
                  <a:extLst>
                    <a:ext uri="{FF2B5EF4-FFF2-40B4-BE49-F238E27FC236}">
                      <a16:creationId xmlns:a16="http://schemas.microsoft.com/office/drawing/2014/main" id="{1CF70727-7821-4529-801E-33129E57C5C3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44" name="Shape 31">
                    <a:extLst>
                      <a:ext uri="{FF2B5EF4-FFF2-40B4-BE49-F238E27FC236}">
                        <a16:creationId xmlns:a16="http://schemas.microsoft.com/office/drawing/2014/main" id="{93667E04-F83E-4287-B1A2-735831FE663E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800"/>
                  </a:p>
                </xdr:txBody>
              </xdr:sp>
              <xdr:grpSp>
                <xdr:nvGrpSpPr>
                  <xdr:cNvPr id="45" name="Shape 33">
                    <a:extLst>
                      <a:ext uri="{FF2B5EF4-FFF2-40B4-BE49-F238E27FC236}">
                        <a16:creationId xmlns:a16="http://schemas.microsoft.com/office/drawing/2014/main" id="{C2C56F22-A9A0-49E3-9D2E-5CEEC56AEBD4}"/>
                      </a:ext>
                    </a:extLst>
                  </xdr:cNvPr>
                  <xdr:cNvGrpSpPr/>
                </xdr:nvGrpSpPr>
                <xdr:grpSpPr>
                  <a:xfrm>
                    <a:off x="5370266" y="12292702"/>
                    <a:ext cx="2237814" cy="917171"/>
                    <a:chOff x="80004" y="5247372"/>
                    <a:chExt cx="2535480" cy="931800"/>
                  </a:xfrm>
                </xdr:grpSpPr>
                <xdr:grpSp>
                  <xdr:nvGrpSpPr>
                    <xdr:cNvPr id="88" name="Shape 34">
                      <a:extLst>
                        <a:ext uri="{FF2B5EF4-FFF2-40B4-BE49-F238E27FC236}">
                          <a16:creationId xmlns:a16="http://schemas.microsoft.com/office/drawing/2014/main" id="{FC3BEB02-7015-4E76-831C-3904BC1A2830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90" name="Shape 35">
                        <a:extLst>
                          <a:ext uri="{FF2B5EF4-FFF2-40B4-BE49-F238E27FC236}">
                            <a16:creationId xmlns:a16="http://schemas.microsoft.com/office/drawing/2014/main" id="{20C82A8D-0694-4530-9772-3565C056277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91" name="Shape 39">
                        <a:extLst>
                          <a:ext uri="{FF2B5EF4-FFF2-40B4-BE49-F238E27FC236}">
                            <a16:creationId xmlns:a16="http://schemas.microsoft.com/office/drawing/2014/main" id="{EF9D7111-7AC5-46B0-B15F-A9B4452D958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369190"/>
                        <a:ext cx="891904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92" name="Shape 40">
                        <a:extLst>
                          <a:ext uri="{FF2B5EF4-FFF2-40B4-BE49-F238E27FC236}">
                            <a16:creationId xmlns:a16="http://schemas.microsoft.com/office/drawing/2014/main" id="{74631ABD-0733-452C-976E-D5A3C22C9889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93" name="Shape 41">
                        <a:extLst>
                          <a:ext uri="{FF2B5EF4-FFF2-40B4-BE49-F238E27FC236}">
                            <a16:creationId xmlns:a16="http://schemas.microsoft.com/office/drawing/2014/main" id="{FB60E9E7-AD09-4144-8466-CF661315862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94" name="Shape 43">
                        <a:extLst>
                          <a:ext uri="{FF2B5EF4-FFF2-40B4-BE49-F238E27FC236}">
                            <a16:creationId xmlns:a16="http://schemas.microsoft.com/office/drawing/2014/main" id="{10710829-FDE6-4D31-A5A5-B1CBB6F62589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58149" y="5597302"/>
                        <a:ext cx="860100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95" name="Shape 44">
                        <a:extLst>
                          <a:ext uri="{FF2B5EF4-FFF2-40B4-BE49-F238E27FC236}">
                            <a16:creationId xmlns:a16="http://schemas.microsoft.com/office/drawing/2014/main" id="{53DD23BA-9252-4101-90A0-73AC15D3B15C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89" name="Shape 45">
                      <a:extLst>
                        <a:ext uri="{FF2B5EF4-FFF2-40B4-BE49-F238E27FC236}">
                          <a16:creationId xmlns:a16="http://schemas.microsoft.com/office/drawing/2014/main" id="{2277A360-51B3-4516-AB3B-1A0CD5499240}"/>
                        </a:ext>
                      </a:extLst>
                    </xdr:cNvPr>
                    <xdr:cNvCxnSpPr/>
                  </xdr:nvCxnSpPr>
                  <xdr:spPr>
                    <a:xfrm>
                      <a:off x="86184" y="5591100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6" name="Shape 48">
                    <a:extLst>
                      <a:ext uri="{FF2B5EF4-FFF2-40B4-BE49-F238E27FC236}">
                        <a16:creationId xmlns:a16="http://schemas.microsoft.com/office/drawing/2014/main" id="{D7A60388-4231-4965-BC71-C51AB7F4CC15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403681" cy="917061"/>
                    <a:chOff x="59956" y="5250908"/>
                    <a:chExt cx="2558741" cy="928200"/>
                  </a:xfrm>
                </xdr:grpSpPr>
                <xdr:grpSp>
                  <xdr:nvGrpSpPr>
                    <xdr:cNvPr id="80" name="Shape 49">
                      <a:extLst>
                        <a:ext uri="{FF2B5EF4-FFF2-40B4-BE49-F238E27FC236}">
                          <a16:creationId xmlns:a16="http://schemas.microsoft.com/office/drawing/2014/main" id="{C6AC86A0-BDED-43F4-9C93-D6FE074C6797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82" name="Shape 50">
                        <a:extLst>
                          <a:ext uri="{FF2B5EF4-FFF2-40B4-BE49-F238E27FC236}">
                            <a16:creationId xmlns:a16="http://schemas.microsoft.com/office/drawing/2014/main" id="{9A06B17F-A6BA-4F9D-B522-A6DEA9E78F7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3" name="Shape 54">
                        <a:extLst>
                          <a:ext uri="{FF2B5EF4-FFF2-40B4-BE49-F238E27FC236}">
                            <a16:creationId xmlns:a16="http://schemas.microsoft.com/office/drawing/2014/main" id="{EC1D4A95-48FF-48D3-BA1E-C3582DE1D54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84" name="Shape 55">
                        <a:extLst>
                          <a:ext uri="{FF2B5EF4-FFF2-40B4-BE49-F238E27FC236}">
                            <a16:creationId xmlns:a16="http://schemas.microsoft.com/office/drawing/2014/main" id="{4B69DEE9-058A-47E1-B550-393962DE5197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85" name="Shape 56">
                        <a:extLst>
                          <a:ext uri="{FF2B5EF4-FFF2-40B4-BE49-F238E27FC236}">
                            <a16:creationId xmlns:a16="http://schemas.microsoft.com/office/drawing/2014/main" id="{E7661F54-38F1-4DF3-933C-F235F96FC3A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6" name="Shape 58">
                        <a:extLst>
                          <a:ext uri="{FF2B5EF4-FFF2-40B4-BE49-F238E27FC236}">
                            <a16:creationId xmlns:a16="http://schemas.microsoft.com/office/drawing/2014/main" id="{1E43748A-0705-4F38-815D-74FD687089E1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45823" y="5593553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7" name="Shape 59">
                        <a:extLst>
                          <a:ext uri="{FF2B5EF4-FFF2-40B4-BE49-F238E27FC236}">
                            <a16:creationId xmlns:a16="http://schemas.microsoft.com/office/drawing/2014/main" id="{98D10B60-831F-4102-AC09-7770DFB079D1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81" name="Shape 60">
                      <a:extLst>
                        <a:ext uri="{FF2B5EF4-FFF2-40B4-BE49-F238E27FC236}">
                          <a16:creationId xmlns:a16="http://schemas.microsoft.com/office/drawing/2014/main" id="{8FB2E900-7E3B-401E-9AEC-84BD8E95E4AE}"/>
                        </a:ext>
                      </a:extLst>
                    </xdr:cNvPr>
                    <xdr:cNvCxnSpPr/>
                  </xdr:nvCxnSpPr>
                  <xdr:spPr>
                    <a:xfrm>
                      <a:off x="89397" y="5586435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7" name="Shape 66">
                    <a:extLst>
                      <a:ext uri="{FF2B5EF4-FFF2-40B4-BE49-F238E27FC236}">
                        <a16:creationId xmlns:a16="http://schemas.microsoft.com/office/drawing/2014/main" id="{7E4F9498-4439-4BEA-B960-98DB5474B9F3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48" name="Shape 67">
                      <a:extLst>
                        <a:ext uri="{FF2B5EF4-FFF2-40B4-BE49-F238E27FC236}">
                          <a16:creationId xmlns:a16="http://schemas.microsoft.com/office/drawing/2014/main" id="{A86AD3D6-78AA-4F4B-97D4-7A1648890056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18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76" name="Shape 70">
                      <a:extLst>
                        <a:ext uri="{FF2B5EF4-FFF2-40B4-BE49-F238E27FC236}">
                          <a16:creationId xmlns:a16="http://schemas.microsoft.com/office/drawing/2014/main" id="{CBE4D036-7E0A-4897-84F4-CD125E1C896B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5245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800"/>
                    </a:p>
                  </xdr:txBody>
                </xdr:sp>
                <xdr:cxnSp macro="">
                  <xdr:nvCxnSpPr>
                    <xdr:cNvPr id="77" name="Shape 71">
                      <a:extLst>
                        <a:ext uri="{FF2B5EF4-FFF2-40B4-BE49-F238E27FC236}">
                          <a16:creationId xmlns:a16="http://schemas.microsoft.com/office/drawing/2014/main" id="{F8A11BD3-40C3-44C1-8FE0-3BB6563C3518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78" name="Shape 72">
                      <a:extLst>
                        <a:ext uri="{FF2B5EF4-FFF2-40B4-BE49-F238E27FC236}">
                          <a16:creationId xmlns:a16="http://schemas.microsoft.com/office/drawing/2014/main" id="{1BD54A61-2775-428B-9219-E18D0BDC382E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79" name="Shape 75">
                      <a:extLst>
                        <a:ext uri="{FF2B5EF4-FFF2-40B4-BE49-F238E27FC236}">
                          <a16:creationId xmlns:a16="http://schemas.microsoft.com/office/drawing/2014/main" id="{6B8958BB-E619-40B4-896B-2408E0AE3D7F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8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4</xdr:col>
      <xdr:colOff>419100</xdr:colOff>
      <xdr:row>44</xdr:row>
      <xdr:rowOff>133350</xdr:rowOff>
    </xdr:from>
    <xdr:to>
      <xdr:col>7</xdr:col>
      <xdr:colOff>1543050</xdr:colOff>
      <xdr:row>44</xdr:row>
      <xdr:rowOff>133350</xdr:rowOff>
    </xdr:to>
    <xdr:cxnSp macro="">
      <xdr:nvCxnSpPr>
        <xdr:cNvPr id="96" name="Shape 60">
          <a:extLst>
            <a:ext uri="{FF2B5EF4-FFF2-40B4-BE49-F238E27FC236}">
              <a16:creationId xmlns:a16="http://schemas.microsoft.com/office/drawing/2014/main" id="{14C266AD-23F4-4F44-805F-3FEB28E1AFF2}"/>
            </a:ext>
          </a:extLst>
        </xdr:cNvPr>
        <xdr:cNvCxnSpPr/>
      </xdr:nvCxnSpPr>
      <xdr:spPr>
        <a:xfrm>
          <a:off x="5715000" y="19735800"/>
          <a:ext cx="567690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>
    <xdr:from>
      <xdr:col>5</xdr:col>
      <xdr:colOff>228600</xdr:colOff>
      <xdr:row>45</xdr:row>
      <xdr:rowOff>19051</xdr:rowOff>
    </xdr:from>
    <xdr:to>
      <xdr:col>6</xdr:col>
      <xdr:colOff>869384</xdr:colOff>
      <xdr:row>48</xdr:row>
      <xdr:rowOff>77821</xdr:rowOff>
    </xdr:to>
    <xdr:sp macro="" textlink="">
      <xdr:nvSpPr>
        <xdr:cNvPr id="97" name="Shape 58">
          <a:extLst>
            <a:ext uri="{FF2B5EF4-FFF2-40B4-BE49-F238E27FC236}">
              <a16:creationId xmlns:a16="http://schemas.microsoft.com/office/drawing/2014/main" id="{2A2E5CC0-05BA-4B59-AC32-D7F0B7EE9E8F}"/>
            </a:ext>
          </a:extLst>
        </xdr:cNvPr>
        <xdr:cNvSpPr txBox="1"/>
      </xdr:nvSpPr>
      <xdr:spPr>
        <a:xfrm>
          <a:off x="5962650" y="19773901"/>
          <a:ext cx="1078934" cy="51597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800"/>
        </a:p>
      </xdr:txBody>
    </xdr:sp>
    <xdr:clientData/>
  </xdr:twoCellAnchor>
  <xdr:twoCellAnchor editAs="oneCell">
    <xdr:from>
      <xdr:col>6</xdr:col>
      <xdr:colOff>1574800</xdr:colOff>
      <xdr:row>45</xdr:row>
      <xdr:rowOff>63500</xdr:rowOff>
    </xdr:from>
    <xdr:to>
      <xdr:col>6</xdr:col>
      <xdr:colOff>3671824</xdr:colOff>
      <xdr:row>54</xdr:row>
      <xdr:rowOff>80182</xdr:rowOff>
    </xdr:to>
    <xdr:pic>
      <xdr:nvPicPr>
        <xdr:cNvPr id="98" name="Imagen 97">
          <a:extLst>
            <a:ext uri="{FF2B5EF4-FFF2-40B4-BE49-F238E27FC236}">
              <a16:creationId xmlns:a16="http://schemas.microsoft.com/office/drawing/2014/main" id="{038FE619-19F8-4641-8717-443A92CC2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8900" y="20015200"/>
          <a:ext cx="2097024" cy="1502582"/>
        </a:xfrm>
        <a:prstGeom prst="rect">
          <a:avLst/>
        </a:prstGeom>
      </xdr:spPr>
    </xdr:pic>
    <xdr:clientData/>
  </xdr:twoCellAnchor>
  <xdr:twoCellAnchor editAs="oneCell">
    <xdr:from>
      <xdr:col>9</xdr:col>
      <xdr:colOff>215900</xdr:colOff>
      <xdr:row>45</xdr:row>
      <xdr:rowOff>88900</xdr:rowOff>
    </xdr:from>
    <xdr:to>
      <xdr:col>12</xdr:col>
      <xdr:colOff>88900</xdr:colOff>
      <xdr:row>54</xdr:row>
      <xdr:rowOff>43053</xdr:rowOff>
    </xdr:to>
    <xdr:pic>
      <xdr:nvPicPr>
        <xdr:cNvPr id="99" name="Imagen 98">
          <a:extLst>
            <a:ext uri="{FF2B5EF4-FFF2-40B4-BE49-F238E27FC236}">
              <a16:creationId xmlns:a16="http://schemas.microsoft.com/office/drawing/2014/main" id="{E1A9AB14-1545-431E-9FFB-734065874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63600" y="20040600"/>
          <a:ext cx="2273300" cy="1440053"/>
        </a:xfrm>
        <a:prstGeom prst="rect">
          <a:avLst/>
        </a:prstGeom>
      </xdr:spPr>
    </xdr:pic>
    <xdr:clientData/>
  </xdr:twoCellAnchor>
  <xdr:twoCellAnchor editAs="oneCell">
    <xdr:from>
      <xdr:col>16</xdr:col>
      <xdr:colOff>177800</xdr:colOff>
      <xdr:row>45</xdr:row>
      <xdr:rowOff>12700</xdr:rowOff>
    </xdr:from>
    <xdr:to>
      <xdr:col>17</xdr:col>
      <xdr:colOff>1447800</xdr:colOff>
      <xdr:row>53</xdr:row>
      <xdr:rowOff>131953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6FA684AD-1345-4523-8AEC-5E9DF2B79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29400" y="19964400"/>
          <a:ext cx="2273300" cy="1440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381000</xdr:colOff>
      <xdr:row>0</xdr:row>
      <xdr:rowOff>25401</xdr:rowOff>
    </xdr:from>
    <xdr:ext cx="14049375" cy="1079499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6223000" y="25401"/>
          <a:ext cx="14049375" cy="1079499"/>
          <a:chOff x="-3655125" y="3257714"/>
          <a:chExt cx="14049375" cy="1079499"/>
        </a:xfrm>
      </xdr:grpSpPr>
      <xdr:grpSp>
        <xdr:nvGrpSpPr>
          <xdr:cNvPr id="76" name="Shape 76">
            <a:extLst>
              <a:ext uri="{FF2B5EF4-FFF2-40B4-BE49-F238E27FC236}">
                <a16:creationId xmlns:a16="http://schemas.microsoft.com/office/drawing/2014/main" id="{00000000-0008-0000-0200-00004C000000}"/>
              </a:ext>
            </a:extLst>
          </xdr:cNvPr>
          <xdr:cNvGrpSpPr/>
        </xdr:nvGrpSpPr>
        <xdr:grpSpPr>
          <a:xfrm>
            <a:off x="-3655125" y="3257714"/>
            <a:ext cx="14049375" cy="1079499"/>
            <a:chOff x="-3655125" y="3257714"/>
            <a:chExt cx="14049375" cy="1079499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/>
            </a:p>
          </xdr:txBody>
        </xdr:sp>
        <xdr:grpSp>
          <xdr:nvGrpSpPr>
            <xdr:cNvPr id="77" name="Shape 77">
              <a:extLst>
                <a:ext uri="{FF2B5EF4-FFF2-40B4-BE49-F238E27FC236}">
                  <a16:creationId xmlns:a16="http://schemas.microsoft.com/office/drawing/2014/main" id="{00000000-0008-0000-0200-00004D000000}"/>
                </a:ext>
              </a:extLst>
            </xdr:cNvPr>
            <xdr:cNvGrpSpPr/>
          </xdr:nvGrpSpPr>
          <xdr:grpSpPr>
            <a:xfrm>
              <a:off x="-3655125" y="3257714"/>
              <a:ext cx="14049375" cy="1079499"/>
              <a:chOff x="-3655125" y="3257714"/>
              <a:chExt cx="14049375" cy="1079499"/>
            </a:xfrm>
          </xdr:grpSpPr>
          <xdr:sp macro="" textlink="">
            <xdr:nvSpPr>
              <xdr:cNvPr id="78" name="Shape 78">
                <a:extLst>
                  <a:ext uri="{FF2B5EF4-FFF2-40B4-BE49-F238E27FC236}">
                    <a16:creationId xmlns:a16="http://schemas.microsoft.com/office/drawing/2014/main" id="{00000000-0008-0000-0200-00004E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000"/>
              </a:p>
            </xdr:txBody>
          </xdr:sp>
          <xdr:grpSp>
            <xdr:nvGrpSpPr>
              <xdr:cNvPr id="79" name="Shape 79">
                <a:extLst>
                  <a:ext uri="{FF2B5EF4-FFF2-40B4-BE49-F238E27FC236}">
                    <a16:creationId xmlns:a16="http://schemas.microsoft.com/office/drawing/2014/main" id="{00000000-0008-0000-0200-00004F000000}"/>
                  </a:ext>
                </a:extLst>
              </xdr:cNvPr>
              <xdr:cNvGrpSpPr/>
            </xdr:nvGrpSpPr>
            <xdr:grpSpPr>
              <a:xfrm>
                <a:off x="-3655125" y="3257714"/>
                <a:ext cx="14049375" cy="1079499"/>
                <a:chOff x="-3655125" y="3257714"/>
                <a:chExt cx="14049375" cy="1079499"/>
              </a:xfrm>
            </xdr:grpSpPr>
            <xdr:sp macro="" textlink="">
              <xdr:nvSpPr>
                <xdr:cNvPr id="80" name="Shape 80">
                  <a:extLst>
                    <a:ext uri="{FF2B5EF4-FFF2-40B4-BE49-F238E27FC236}">
                      <a16:creationId xmlns:a16="http://schemas.microsoft.com/office/drawing/2014/main" id="{00000000-0008-0000-0200-000050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000"/>
                </a:p>
              </xdr:txBody>
            </xdr:sp>
            <xdr:grpSp>
              <xdr:nvGrpSpPr>
                <xdr:cNvPr id="81" name="Shape 81">
                  <a:extLst>
                    <a:ext uri="{FF2B5EF4-FFF2-40B4-BE49-F238E27FC236}">
                      <a16:creationId xmlns:a16="http://schemas.microsoft.com/office/drawing/2014/main" id="{00000000-0008-0000-0200-000051000000}"/>
                    </a:ext>
                  </a:extLst>
                </xdr:cNvPr>
                <xdr:cNvGrpSpPr/>
              </xdr:nvGrpSpPr>
              <xdr:grpSpPr>
                <a:xfrm>
                  <a:off x="-3655125" y="3257714"/>
                  <a:ext cx="14049375" cy="1079499"/>
                  <a:chOff x="-3655125" y="3257714"/>
                  <a:chExt cx="14049375" cy="1079499"/>
                </a:xfrm>
              </xdr:grpSpPr>
              <xdr:sp macro="" textlink="">
                <xdr:nvSpPr>
                  <xdr:cNvPr id="82" name="Shape 82">
                    <a:extLst>
                      <a:ext uri="{FF2B5EF4-FFF2-40B4-BE49-F238E27FC236}">
                        <a16:creationId xmlns:a16="http://schemas.microsoft.com/office/drawing/2014/main" id="{00000000-0008-0000-0200-000052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000"/>
                  </a:p>
                </xdr:txBody>
              </xdr:sp>
              <xdr:grpSp>
                <xdr:nvGrpSpPr>
                  <xdr:cNvPr id="83" name="Shape 83">
                    <a:extLst>
                      <a:ext uri="{FF2B5EF4-FFF2-40B4-BE49-F238E27FC236}">
                        <a16:creationId xmlns:a16="http://schemas.microsoft.com/office/drawing/2014/main" id="{00000000-0008-0000-0200-000053000000}"/>
                      </a:ext>
                    </a:extLst>
                  </xdr:cNvPr>
                  <xdr:cNvGrpSpPr/>
                </xdr:nvGrpSpPr>
                <xdr:grpSpPr>
                  <a:xfrm>
                    <a:off x="-3655125" y="3257714"/>
                    <a:ext cx="14049375" cy="1079499"/>
                    <a:chOff x="-3884398" y="3031183"/>
                    <a:chExt cx="14407237" cy="1547718"/>
                  </a:xfrm>
                </xdr:grpSpPr>
                <xdr:sp macro="" textlink="">
                  <xdr:nvSpPr>
                    <xdr:cNvPr id="84" name="Shape 84">
                      <a:extLst>
                        <a:ext uri="{FF2B5EF4-FFF2-40B4-BE49-F238E27FC236}">
                          <a16:creationId xmlns:a16="http://schemas.microsoft.com/office/drawing/2014/main" id="{00000000-0008-0000-0200-000054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000"/>
                    </a:p>
                  </xdr:txBody>
                </xdr:sp>
                <xdr:grpSp>
                  <xdr:nvGrpSpPr>
                    <xdr:cNvPr id="85" name="Shape 85" title="Dibujo">
                      <a:extLst>
                        <a:ext uri="{FF2B5EF4-FFF2-40B4-BE49-F238E27FC236}">
                          <a16:creationId xmlns:a16="http://schemas.microsoft.com/office/drawing/2014/main" id="{00000000-0008-0000-0200-000055000000}"/>
                        </a:ext>
                      </a:extLst>
                    </xdr:cNvPr>
                    <xdr:cNvGrpSpPr/>
                  </xdr:nvGrpSpPr>
                  <xdr:grpSpPr>
                    <a:xfrm>
                      <a:off x="-3884398" y="3031183"/>
                      <a:ext cx="14407237" cy="1547718"/>
                      <a:chOff x="-3884398" y="3031183"/>
                      <a:chExt cx="14407238" cy="1547718"/>
                    </a:xfrm>
                  </xdr:grpSpPr>
                  <xdr:sp macro="" textlink="">
                    <xdr:nvSpPr>
                      <xdr:cNvPr id="86" name="Shape 86">
                        <a:extLst>
                          <a:ext uri="{FF2B5EF4-FFF2-40B4-BE49-F238E27FC236}">
                            <a16:creationId xmlns:a16="http://schemas.microsoft.com/office/drawing/2014/main" id="{00000000-0008-0000-0200-000056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000"/>
                      </a:p>
                    </xdr:txBody>
                  </xdr:sp>
                  <xdr:grpSp>
                    <xdr:nvGrpSpPr>
                      <xdr:cNvPr id="87" name="Shape 87">
                        <a:extLst>
                          <a:ext uri="{FF2B5EF4-FFF2-40B4-BE49-F238E27FC236}">
                            <a16:creationId xmlns:a16="http://schemas.microsoft.com/office/drawing/2014/main" id="{00000000-0008-0000-0200-000057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3884398" y="3031183"/>
                        <a:ext cx="14407238" cy="1547718"/>
                        <a:chOff x="-3884398" y="3031183"/>
                        <a:chExt cx="14407235" cy="1547718"/>
                      </a:xfrm>
                    </xdr:grpSpPr>
                    <xdr:sp macro="" textlink="">
                      <xdr:nvSpPr>
                        <xdr:cNvPr id="88" name="Shape 88">
                          <a:extLst>
                            <a:ext uri="{FF2B5EF4-FFF2-40B4-BE49-F238E27FC236}">
                              <a16:creationId xmlns:a16="http://schemas.microsoft.com/office/drawing/2014/main" id="{00000000-0008-0000-0200-00005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000"/>
                        </a:p>
                      </xdr:txBody>
                    </xdr:sp>
                    <xdr:grpSp>
                      <xdr:nvGrpSpPr>
                        <xdr:cNvPr id="89" name="Shape 89">
                          <a:extLst>
                            <a:ext uri="{FF2B5EF4-FFF2-40B4-BE49-F238E27FC236}">
                              <a16:creationId xmlns:a16="http://schemas.microsoft.com/office/drawing/2014/main" id="{00000000-0008-0000-0200-000059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3884398" y="3031183"/>
                          <a:ext cx="14407235" cy="1547718"/>
                          <a:chOff x="-6047565" y="-334996"/>
                          <a:chExt cx="13666237" cy="1799010"/>
                        </a:xfrm>
                      </xdr:grpSpPr>
                      <xdr:sp macro="" textlink="">
                        <xdr:nvSpPr>
                          <xdr:cNvPr id="90" name="Shape 90">
                            <a:extLst>
                              <a:ext uri="{FF2B5EF4-FFF2-40B4-BE49-F238E27FC236}">
                                <a16:creationId xmlns:a16="http://schemas.microsoft.com/office/drawing/2014/main" id="{00000000-0008-0000-0200-00005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2000"/>
                          </a:p>
                        </xdr:txBody>
                      </xdr:sp>
                      <xdr:sp macro="" textlink="">
                        <xdr:nvSpPr>
                          <xdr:cNvPr id="91" name="Shape 91">
                            <a:extLst>
                              <a:ext uri="{FF2B5EF4-FFF2-40B4-BE49-F238E27FC236}">
                                <a16:creationId xmlns:a16="http://schemas.microsoft.com/office/drawing/2014/main" id="{00000000-0008-0000-0200-00005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92" name="Shape 92">
                            <a:extLst>
                              <a:ext uri="{FF2B5EF4-FFF2-40B4-BE49-F238E27FC236}">
                                <a16:creationId xmlns:a16="http://schemas.microsoft.com/office/drawing/2014/main" id="{00000000-0008-0000-0200-00005C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93" name="Shape 93">
                            <a:extLst>
                              <a:ext uri="{FF2B5EF4-FFF2-40B4-BE49-F238E27FC236}">
                                <a16:creationId xmlns:a16="http://schemas.microsoft.com/office/drawing/2014/main" id="{00000000-0008-0000-0200-00005D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94" name="Shape 94">
                            <a:extLst>
                              <a:ext uri="{FF2B5EF4-FFF2-40B4-BE49-F238E27FC236}">
                                <a16:creationId xmlns:a16="http://schemas.microsoft.com/office/drawing/2014/main" id="{00000000-0008-0000-0200-00005E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95" name="Shape 95">
                            <a:extLst>
                              <a:ext uri="{FF2B5EF4-FFF2-40B4-BE49-F238E27FC236}">
                                <a16:creationId xmlns:a16="http://schemas.microsoft.com/office/drawing/2014/main" id="{00000000-0008-0000-0200-00005F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96" name="Shape 96">
                            <a:extLst>
                              <a:ext uri="{FF2B5EF4-FFF2-40B4-BE49-F238E27FC236}">
                                <a16:creationId xmlns:a16="http://schemas.microsoft.com/office/drawing/2014/main" id="{00000000-0008-0000-0200-00006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7" name="Shape 97">
                            <a:extLst>
                              <a:ext uri="{FF2B5EF4-FFF2-40B4-BE49-F238E27FC236}">
                                <a16:creationId xmlns:a16="http://schemas.microsoft.com/office/drawing/2014/main" id="{00000000-0008-0000-0200-000061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8" name="Shape 98">
                            <a:extLst>
                              <a:ext uri="{FF2B5EF4-FFF2-40B4-BE49-F238E27FC236}">
                                <a16:creationId xmlns:a16="http://schemas.microsoft.com/office/drawing/2014/main" id="{00000000-0008-0000-0200-000062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99" name="Shape 99">
                            <a:extLst>
                              <a:ext uri="{FF2B5EF4-FFF2-40B4-BE49-F238E27FC236}">
                                <a16:creationId xmlns:a16="http://schemas.microsoft.com/office/drawing/2014/main" id="{00000000-0008-0000-0200-000063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0" name="Shape 100">
                            <a:extLst>
                              <a:ext uri="{FF2B5EF4-FFF2-40B4-BE49-F238E27FC236}">
                                <a16:creationId xmlns:a16="http://schemas.microsoft.com/office/drawing/2014/main" id="{00000000-0008-0000-0200-000064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6003386" y="798381"/>
                            <a:ext cx="1530569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01" name="Shape 101">
                            <a:extLst>
                              <a:ext uri="{FF2B5EF4-FFF2-40B4-BE49-F238E27FC236}">
                                <a16:creationId xmlns:a16="http://schemas.microsoft.com/office/drawing/2014/main" id="{00000000-0008-0000-0200-000065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44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5400"/>
                          </a:p>
                        </xdr:txBody>
                      </xdr:sp>
                      <xdr:pic>
                        <xdr:nvPicPr>
                          <xdr:cNvPr id="102" name="Shape 102">
                            <a:extLst>
                              <a:ext uri="{FF2B5EF4-FFF2-40B4-BE49-F238E27FC236}">
                                <a16:creationId xmlns:a16="http://schemas.microsoft.com/office/drawing/2014/main" id="{00000000-0008-0000-0200-000066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 cstate="print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 t="18868" b="20754"/>
                          <a:stretch/>
                        </xdr:blipFill>
                        <xdr:spPr>
                          <a:xfrm>
                            <a:off x="-6047565" y="-334996"/>
                            <a:ext cx="5188537" cy="179901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23</xdr:col>
      <xdr:colOff>406400</xdr:colOff>
      <xdr:row>23</xdr:row>
      <xdr:rowOff>95250</xdr:rowOff>
    </xdr:from>
    <xdr:ext cx="7708900" cy="26225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572200" y="10864850"/>
          <a:ext cx="7708900" cy="262255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469900</xdr:colOff>
      <xdr:row>24</xdr:row>
      <xdr:rowOff>63500</xdr:rowOff>
    </xdr:from>
    <xdr:ext cx="18364200" cy="2872016"/>
    <xdr:grpSp>
      <xdr:nvGrpSpPr>
        <xdr:cNvPr id="34" name="Shape 2" title="Dibujo">
          <a:extLst>
            <a:ext uri="{FF2B5EF4-FFF2-40B4-BE49-F238E27FC236}">
              <a16:creationId xmlns:a16="http://schemas.microsoft.com/office/drawing/2014/main" id="{C6D41046-214E-4401-9C00-6B10ED87237E}"/>
            </a:ext>
          </a:extLst>
        </xdr:cNvPr>
        <xdr:cNvGrpSpPr/>
      </xdr:nvGrpSpPr>
      <xdr:grpSpPr>
        <a:xfrm>
          <a:off x="10121900" y="11620500"/>
          <a:ext cx="18364200" cy="2872016"/>
          <a:chOff x="1355035" y="3194243"/>
          <a:chExt cx="7982205" cy="1172335"/>
        </a:xfrm>
      </xdr:grpSpPr>
      <xdr:grpSp>
        <xdr:nvGrpSpPr>
          <xdr:cNvPr id="35" name="Shape 25">
            <a:extLst>
              <a:ext uri="{FF2B5EF4-FFF2-40B4-BE49-F238E27FC236}">
                <a16:creationId xmlns:a16="http://schemas.microsoft.com/office/drawing/2014/main" id="{117467BD-117D-4272-BE84-CF79D7271B7C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72C7FAC4-68E6-40C5-AD42-06C87CD8E513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/>
            </a:p>
          </xdr:txBody>
        </xdr:sp>
        <xdr:grpSp>
          <xdr:nvGrpSpPr>
            <xdr:cNvPr id="37" name="Shape 26">
              <a:extLst>
                <a:ext uri="{FF2B5EF4-FFF2-40B4-BE49-F238E27FC236}">
                  <a16:creationId xmlns:a16="http://schemas.microsoft.com/office/drawing/2014/main" id="{5C78FCF0-35CE-40D8-ABC7-DB21CC8E2343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38" name="Shape 27">
                <a:extLst>
                  <a:ext uri="{FF2B5EF4-FFF2-40B4-BE49-F238E27FC236}">
                    <a16:creationId xmlns:a16="http://schemas.microsoft.com/office/drawing/2014/main" id="{6FA69032-E2CC-4CEC-96D1-11C3A8E9DBEC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800"/>
              </a:p>
            </xdr:txBody>
          </xdr:sp>
          <xdr:grpSp>
            <xdr:nvGrpSpPr>
              <xdr:cNvPr id="39" name="Shape 28">
                <a:extLst>
                  <a:ext uri="{FF2B5EF4-FFF2-40B4-BE49-F238E27FC236}">
                    <a16:creationId xmlns:a16="http://schemas.microsoft.com/office/drawing/2014/main" id="{6EDAC57C-2C64-44F8-A222-22524BB1E9DE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40" name="Shape 29">
                  <a:extLst>
                    <a:ext uri="{FF2B5EF4-FFF2-40B4-BE49-F238E27FC236}">
                      <a16:creationId xmlns:a16="http://schemas.microsoft.com/office/drawing/2014/main" id="{8B9D1706-A527-4C5F-BDC6-CCD01C545B3C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800"/>
                </a:p>
              </xdr:txBody>
            </xdr:sp>
            <xdr:grpSp>
              <xdr:nvGrpSpPr>
                <xdr:cNvPr id="41" name="Shape 30">
                  <a:extLst>
                    <a:ext uri="{FF2B5EF4-FFF2-40B4-BE49-F238E27FC236}">
                      <a16:creationId xmlns:a16="http://schemas.microsoft.com/office/drawing/2014/main" id="{ECE838C5-5AB7-4BCD-AC80-B3CAFB6E177E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42" name="Shape 31">
                    <a:extLst>
                      <a:ext uri="{FF2B5EF4-FFF2-40B4-BE49-F238E27FC236}">
                        <a16:creationId xmlns:a16="http://schemas.microsoft.com/office/drawing/2014/main" id="{7DDD4D36-AFF6-4F37-980E-FC6249BDE0C3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800"/>
                  </a:p>
                </xdr:txBody>
              </xdr:sp>
              <xdr:grpSp>
                <xdr:nvGrpSpPr>
                  <xdr:cNvPr id="43" name="Shape 33">
                    <a:extLst>
                      <a:ext uri="{FF2B5EF4-FFF2-40B4-BE49-F238E27FC236}">
                        <a16:creationId xmlns:a16="http://schemas.microsoft.com/office/drawing/2014/main" id="{91CBED6E-6D1E-4C2C-A399-09EF0EFB6B1C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59" name="Shape 34">
                      <a:extLst>
                        <a:ext uri="{FF2B5EF4-FFF2-40B4-BE49-F238E27FC236}">
                          <a16:creationId xmlns:a16="http://schemas.microsoft.com/office/drawing/2014/main" id="{AF9443CC-3030-47F4-B612-292A7DFF7405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61" name="Shape 35">
                        <a:extLst>
                          <a:ext uri="{FF2B5EF4-FFF2-40B4-BE49-F238E27FC236}">
                            <a16:creationId xmlns:a16="http://schemas.microsoft.com/office/drawing/2014/main" id="{62E298A7-2059-4117-BB1C-E03DAB40922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2" name="Shape 39">
                        <a:extLst>
                          <a:ext uri="{FF2B5EF4-FFF2-40B4-BE49-F238E27FC236}">
                            <a16:creationId xmlns:a16="http://schemas.microsoft.com/office/drawing/2014/main" id="{C28D63B3-C747-47DA-A59B-BB6D181674B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63" name="Shape 40">
                        <a:extLst>
                          <a:ext uri="{FF2B5EF4-FFF2-40B4-BE49-F238E27FC236}">
                            <a16:creationId xmlns:a16="http://schemas.microsoft.com/office/drawing/2014/main" id="{F3161195-383F-4C07-880B-D88CD0268008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64" name="Shape 41">
                        <a:extLst>
                          <a:ext uri="{FF2B5EF4-FFF2-40B4-BE49-F238E27FC236}">
                            <a16:creationId xmlns:a16="http://schemas.microsoft.com/office/drawing/2014/main" id="{0CE3E231-9E6B-417A-A3AB-CB43E02D1F2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5" name="Shape 43">
                        <a:extLst>
                          <a:ext uri="{FF2B5EF4-FFF2-40B4-BE49-F238E27FC236}">
                            <a16:creationId xmlns:a16="http://schemas.microsoft.com/office/drawing/2014/main" id="{901F54B4-1951-4B81-91EE-F06CB6FD343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00265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6" name="Shape 44">
                        <a:extLst>
                          <a:ext uri="{FF2B5EF4-FFF2-40B4-BE49-F238E27FC236}">
                            <a16:creationId xmlns:a16="http://schemas.microsoft.com/office/drawing/2014/main" id="{D665AD77-82F9-4AF0-816A-57EFBB6B1E2E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60" name="Shape 45">
                      <a:extLst>
                        <a:ext uri="{FF2B5EF4-FFF2-40B4-BE49-F238E27FC236}">
                          <a16:creationId xmlns:a16="http://schemas.microsoft.com/office/drawing/2014/main" id="{DB08928D-BB93-400F-BD98-19B302B569AF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2060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4" name="Shape 48">
                    <a:extLst>
                      <a:ext uri="{FF2B5EF4-FFF2-40B4-BE49-F238E27FC236}">
                        <a16:creationId xmlns:a16="http://schemas.microsoft.com/office/drawing/2014/main" id="{C7BA4B99-D3CD-46D1-A3C7-96A486893288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51" name="Shape 49">
                      <a:extLst>
                        <a:ext uri="{FF2B5EF4-FFF2-40B4-BE49-F238E27FC236}">
                          <a16:creationId xmlns:a16="http://schemas.microsoft.com/office/drawing/2014/main" id="{106F3469-7046-4139-BCCE-C84EFC743913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53" name="Shape 50">
                        <a:extLst>
                          <a:ext uri="{FF2B5EF4-FFF2-40B4-BE49-F238E27FC236}">
                            <a16:creationId xmlns:a16="http://schemas.microsoft.com/office/drawing/2014/main" id="{02CA7CA8-D367-4A0B-ADC8-AF485B80D6FD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4" name="Shape 54">
                        <a:extLst>
                          <a:ext uri="{FF2B5EF4-FFF2-40B4-BE49-F238E27FC236}">
                            <a16:creationId xmlns:a16="http://schemas.microsoft.com/office/drawing/2014/main" id="{D8D9A1EC-030B-474B-92BA-EADB897FFAAF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55" name="Shape 55">
                        <a:extLst>
                          <a:ext uri="{FF2B5EF4-FFF2-40B4-BE49-F238E27FC236}">
                            <a16:creationId xmlns:a16="http://schemas.microsoft.com/office/drawing/2014/main" id="{205C8C13-2151-4EB9-AC42-0CB0989227EF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56" name="Shape 56">
                        <a:extLst>
                          <a:ext uri="{FF2B5EF4-FFF2-40B4-BE49-F238E27FC236}">
                            <a16:creationId xmlns:a16="http://schemas.microsoft.com/office/drawing/2014/main" id="{F3D2EB79-E465-46AE-BDD8-0392D467CF2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7" name="Shape 58">
                        <a:extLst>
                          <a:ext uri="{FF2B5EF4-FFF2-40B4-BE49-F238E27FC236}">
                            <a16:creationId xmlns:a16="http://schemas.microsoft.com/office/drawing/2014/main" id="{30BE86C4-9903-4457-825F-96FEC81EF3A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25978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8" name="Shape 59">
                        <a:extLst>
                          <a:ext uri="{FF2B5EF4-FFF2-40B4-BE49-F238E27FC236}">
                            <a16:creationId xmlns:a16="http://schemas.microsoft.com/office/drawing/2014/main" id="{2515100B-7661-4D9C-960F-D14CF6415FD1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52" name="Shape 60">
                      <a:extLst>
                        <a:ext uri="{FF2B5EF4-FFF2-40B4-BE49-F238E27FC236}">
                          <a16:creationId xmlns:a16="http://schemas.microsoft.com/office/drawing/2014/main" id="{C1623C42-D500-4862-9F26-7D295B0839EE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2012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5" name="Shape 66">
                    <a:extLst>
                      <a:ext uri="{FF2B5EF4-FFF2-40B4-BE49-F238E27FC236}">
                        <a16:creationId xmlns:a16="http://schemas.microsoft.com/office/drawing/2014/main" id="{2639481B-A5AF-4D55-A118-C5970B6BF456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46" name="Shape 67">
                      <a:extLst>
                        <a:ext uri="{FF2B5EF4-FFF2-40B4-BE49-F238E27FC236}">
                          <a16:creationId xmlns:a16="http://schemas.microsoft.com/office/drawing/2014/main" id="{7AACEDC7-7CEB-4192-A36D-A048A68A4D66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18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47" name="Shape 70">
                      <a:extLst>
                        <a:ext uri="{FF2B5EF4-FFF2-40B4-BE49-F238E27FC236}">
                          <a16:creationId xmlns:a16="http://schemas.microsoft.com/office/drawing/2014/main" id="{FC54C8C8-C2DC-4F5C-9D7F-C8618490C0ED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800"/>
                    </a:p>
                  </xdr:txBody>
                </xdr:sp>
                <xdr:cxnSp macro="">
                  <xdr:nvCxnSpPr>
                    <xdr:cNvPr id="48" name="Shape 71">
                      <a:extLst>
                        <a:ext uri="{FF2B5EF4-FFF2-40B4-BE49-F238E27FC236}">
                          <a16:creationId xmlns:a16="http://schemas.microsoft.com/office/drawing/2014/main" id="{EC1E8932-8210-45B9-8C40-3BDE6A223F0D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49" name="Shape 72">
                      <a:extLst>
                        <a:ext uri="{FF2B5EF4-FFF2-40B4-BE49-F238E27FC236}">
                          <a16:creationId xmlns:a16="http://schemas.microsoft.com/office/drawing/2014/main" id="{B8DF74C6-EB2E-457D-A6FA-773DEAD77747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50" name="Shape 75">
                      <a:extLst>
                        <a:ext uri="{FF2B5EF4-FFF2-40B4-BE49-F238E27FC236}">
                          <a16:creationId xmlns:a16="http://schemas.microsoft.com/office/drawing/2014/main" id="{C82D0068-01FB-4C59-B55B-D6CDA77CE7A0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8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7</xdr:col>
      <xdr:colOff>673100</xdr:colOff>
      <xdr:row>31</xdr:row>
      <xdr:rowOff>114300</xdr:rowOff>
    </xdr:from>
    <xdr:to>
      <xdr:col>12</xdr:col>
      <xdr:colOff>757230</xdr:colOff>
      <xdr:row>31</xdr:row>
      <xdr:rowOff>114300</xdr:rowOff>
    </xdr:to>
    <xdr:cxnSp macro="">
      <xdr:nvCxnSpPr>
        <xdr:cNvPr id="67" name="Shape 71">
          <a:extLst>
            <a:ext uri="{FF2B5EF4-FFF2-40B4-BE49-F238E27FC236}">
              <a16:creationId xmlns:a16="http://schemas.microsoft.com/office/drawing/2014/main" id="{9F4DBBC4-73A3-4BF8-9A66-62C5E9A6A50C}"/>
            </a:ext>
          </a:extLst>
        </xdr:cNvPr>
        <xdr:cNvCxnSpPr/>
      </xdr:nvCxnSpPr>
      <xdr:spPr>
        <a:xfrm>
          <a:off x="10325100" y="12204700"/>
          <a:ext cx="601503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>
    <xdr:from>
      <xdr:col>7</xdr:col>
      <xdr:colOff>977900</xdr:colOff>
      <xdr:row>32</xdr:row>
      <xdr:rowOff>76200</xdr:rowOff>
    </xdr:from>
    <xdr:to>
      <xdr:col>7</xdr:col>
      <xdr:colOff>2118948</xdr:colOff>
      <xdr:row>35</xdr:row>
      <xdr:rowOff>73233</xdr:rowOff>
    </xdr:to>
    <xdr:sp macro="" textlink="">
      <xdr:nvSpPr>
        <xdr:cNvPr id="68" name="Shape 58">
          <a:extLst>
            <a:ext uri="{FF2B5EF4-FFF2-40B4-BE49-F238E27FC236}">
              <a16:creationId xmlns:a16="http://schemas.microsoft.com/office/drawing/2014/main" id="{0B446F98-7674-4AE9-A923-09D1309A2CC8}"/>
            </a:ext>
          </a:extLst>
        </xdr:cNvPr>
        <xdr:cNvSpPr txBox="1"/>
      </xdr:nvSpPr>
      <xdr:spPr>
        <a:xfrm>
          <a:off x="10629900" y="12331700"/>
          <a:ext cx="1141048" cy="492333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800"/>
        </a:p>
      </xdr:txBody>
    </xdr:sp>
    <xdr:clientData/>
  </xdr:twoCellAnchor>
  <xdr:twoCellAnchor editAs="oneCell">
    <xdr:from>
      <xdr:col>8</xdr:col>
      <xdr:colOff>127000</xdr:colOff>
      <xdr:row>32</xdr:row>
      <xdr:rowOff>38100</xdr:rowOff>
    </xdr:from>
    <xdr:to>
      <xdr:col>10</xdr:col>
      <xdr:colOff>623824</xdr:colOff>
      <xdr:row>41</xdr:row>
      <xdr:rowOff>54782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8462C4B9-0264-431D-9AA3-C5C1FBDC6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09500" y="12293600"/>
          <a:ext cx="2097024" cy="1502582"/>
        </a:xfrm>
        <a:prstGeom prst="rect">
          <a:avLst/>
        </a:prstGeom>
      </xdr:spPr>
    </xdr:pic>
    <xdr:clientData/>
  </xdr:twoCellAnchor>
  <xdr:twoCellAnchor editAs="oneCell">
    <xdr:from>
      <xdr:col>15</xdr:col>
      <xdr:colOff>800100</xdr:colOff>
      <xdr:row>32</xdr:row>
      <xdr:rowOff>25400</xdr:rowOff>
    </xdr:from>
    <xdr:to>
      <xdr:col>17</xdr:col>
      <xdr:colOff>1066800</xdr:colOff>
      <xdr:row>40</xdr:row>
      <xdr:rowOff>144653</xdr:rowOff>
    </xdr:to>
    <xdr:pic>
      <xdr:nvPicPr>
        <xdr:cNvPr id="70" name="Imagen 69">
          <a:extLst>
            <a:ext uri="{FF2B5EF4-FFF2-40B4-BE49-F238E27FC236}">
              <a16:creationId xmlns:a16="http://schemas.microsoft.com/office/drawing/2014/main" id="{AA1382F1-DFCB-407C-983B-B50F3CCA2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83300" y="12280900"/>
          <a:ext cx="2273300" cy="1440053"/>
        </a:xfrm>
        <a:prstGeom prst="rect">
          <a:avLst/>
        </a:prstGeom>
      </xdr:spPr>
    </xdr:pic>
    <xdr:clientData/>
  </xdr:twoCellAnchor>
  <xdr:twoCellAnchor editAs="oneCell">
    <xdr:from>
      <xdr:col>18</xdr:col>
      <xdr:colOff>444500</xdr:colOff>
      <xdr:row>32</xdr:row>
      <xdr:rowOff>76200</xdr:rowOff>
    </xdr:from>
    <xdr:to>
      <xdr:col>19</xdr:col>
      <xdr:colOff>38100</xdr:colOff>
      <xdr:row>41</xdr:row>
      <xdr:rowOff>30353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4CE5A0E-5D9F-4993-980E-9678A7188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14200" y="12331700"/>
          <a:ext cx="2273300" cy="14400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1739899</xdr:colOff>
      <xdr:row>1</xdr:row>
      <xdr:rowOff>0</xdr:rowOff>
    </xdr:from>
    <xdr:ext cx="14760576" cy="1181097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5118099" y="88900"/>
          <a:ext cx="14760576" cy="1181097"/>
          <a:chOff x="-4235729" y="3334988"/>
          <a:chExt cx="14629979" cy="1127412"/>
        </a:xfrm>
      </xdr:grpSpPr>
      <xdr:grpSp>
        <xdr:nvGrpSpPr>
          <xdr:cNvPr id="103" name="Shape 103">
            <a:extLst>
              <a:ext uri="{FF2B5EF4-FFF2-40B4-BE49-F238E27FC236}">
                <a16:creationId xmlns:a16="http://schemas.microsoft.com/office/drawing/2014/main" id="{00000000-0008-0000-0300-000067000000}"/>
              </a:ext>
            </a:extLst>
          </xdr:cNvPr>
          <xdr:cNvGrpSpPr/>
        </xdr:nvGrpSpPr>
        <xdr:grpSpPr>
          <a:xfrm>
            <a:off x="-4235729" y="3334988"/>
            <a:ext cx="14629979" cy="1127412"/>
            <a:chOff x="-4235729" y="3334988"/>
            <a:chExt cx="14629979" cy="112741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/>
            </a:p>
          </xdr:txBody>
        </xdr:sp>
        <xdr:grpSp>
          <xdr:nvGrpSpPr>
            <xdr:cNvPr id="104" name="Shape 104">
              <a:extLst>
                <a:ext uri="{FF2B5EF4-FFF2-40B4-BE49-F238E27FC236}">
                  <a16:creationId xmlns:a16="http://schemas.microsoft.com/office/drawing/2014/main" id="{00000000-0008-0000-0300-000068000000}"/>
                </a:ext>
              </a:extLst>
            </xdr:cNvPr>
            <xdr:cNvGrpSpPr/>
          </xdr:nvGrpSpPr>
          <xdr:grpSpPr>
            <a:xfrm>
              <a:off x="-4235729" y="3334988"/>
              <a:ext cx="14629979" cy="1127412"/>
              <a:chOff x="-4235729" y="3334988"/>
              <a:chExt cx="14629979" cy="1127412"/>
            </a:xfrm>
          </xdr:grpSpPr>
          <xdr:sp macro="" textlink="">
            <xdr:nvSpPr>
              <xdr:cNvPr id="105" name="Shape 105">
                <a:extLst>
                  <a:ext uri="{FF2B5EF4-FFF2-40B4-BE49-F238E27FC236}">
                    <a16:creationId xmlns:a16="http://schemas.microsoft.com/office/drawing/2014/main" id="{00000000-0008-0000-0300-000069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000"/>
              </a:p>
            </xdr:txBody>
          </xdr:sp>
          <xdr:grpSp>
            <xdr:nvGrpSpPr>
              <xdr:cNvPr id="106" name="Shape 106">
                <a:extLst>
                  <a:ext uri="{FF2B5EF4-FFF2-40B4-BE49-F238E27FC236}">
                    <a16:creationId xmlns:a16="http://schemas.microsoft.com/office/drawing/2014/main" id="{00000000-0008-0000-0300-00006A000000}"/>
                  </a:ext>
                </a:extLst>
              </xdr:cNvPr>
              <xdr:cNvGrpSpPr/>
            </xdr:nvGrpSpPr>
            <xdr:grpSpPr>
              <a:xfrm>
                <a:off x="-4235729" y="3334988"/>
                <a:ext cx="14629979" cy="1127412"/>
                <a:chOff x="-4235729" y="3334988"/>
                <a:chExt cx="14629979" cy="1127412"/>
              </a:xfrm>
            </xdr:grpSpPr>
            <xdr:sp macro="" textlink="">
              <xdr:nvSpPr>
                <xdr:cNvPr id="107" name="Shape 107">
                  <a:extLst>
                    <a:ext uri="{FF2B5EF4-FFF2-40B4-BE49-F238E27FC236}">
                      <a16:creationId xmlns:a16="http://schemas.microsoft.com/office/drawing/2014/main" id="{00000000-0008-0000-0300-00006B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000"/>
                </a:p>
              </xdr:txBody>
            </xdr:sp>
            <xdr:grpSp>
              <xdr:nvGrpSpPr>
                <xdr:cNvPr id="108" name="Shape 108">
                  <a:extLst>
                    <a:ext uri="{FF2B5EF4-FFF2-40B4-BE49-F238E27FC236}">
                      <a16:creationId xmlns:a16="http://schemas.microsoft.com/office/drawing/2014/main" id="{00000000-0008-0000-0300-00006C000000}"/>
                    </a:ext>
                  </a:extLst>
                </xdr:cNvPr>
                <xdr:cNvGrpSpPr/>
              </xdr:nvGrpSpPr>
              <xdr:grpSpPr>
                <a:xfrm>
                  <a:off x="-4235729" y="3334988"/>
                  <a:ext cx="14629979" cy="1127412"/>
                  <a:chOff x="-4235729" y="3334988"/>
                  <a:chExt cx="14629979" cy="1127412"/>
                </a:xfrm>
              </xdr:grpSpPr>
              <xdr:sp macro="" textlink="">
                <xdr:nvSpPr>
                  <xdr:cNvPr id="109" name="Shape 109">
                    <a:extLst>
                      <a:ext uri="{FF2B5EF4-FFF2-40B4-BE49-F238E27FC236}">
                        <a16:creationId xmlns:a16="http://schemas.microsoft.com/office/drawing/2014/main" id="{00000000-0008-0000-0300-00006D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000"/>
                  </a:p>
                </xdr:txBody>
              </xdr:sp>
              <xdr:grpSp>
                <xdr:nvGrpSpPr>
                  <xdr:cNvPr id="110" name="Shape 110">
                    <a:extLst>
                      <a:ext uri="{FF2B5EF4-FFF2-40B4-BE49-F238E27FC236}">
                        <a16:creationId xmlns:a16="http://schemas.microsoft.com/office/drawing/2014/main" id="{00000000-0008-0000-0300-00006E000000}"/>
                      </a:ext>
                    </a:extLst>
                  </xdr:cNvPr>
                  <xdr:cNvGrpSpPr/>
                </xdr:nvGrpSpPr>
                <xdr:grpSpPr>
                  <a:xfrm>
                    <a:off x="-4235729" y="3334988"/>
                    <a:ext cx="14629979" cy="1127412"/>
                    <a:chOff x="-4479791" y="3141976"/>
                    <a:chExt cx="15002630" cy="1616412"/>
                  </a:xfrm>
                </xdr:grpSpPr>
                <xdr:sp macro="" textlink="">
                  <xdr:nvSpPr>
                    <xdr:cNvPr id="111" name="Shape 111">
                      <a:extLst>
                        <a:ext uri="{FF2B5EF4-FFF2-40B4-BE49-F238E27FC236}">
                          <a16:creationId xmlns:a16="http://schemas.microsoft.com/office/drawing/2014/main" id="{00000000-0008-0000-0300-00006F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000"/>
                    </a:p>
                  </xdr:txBody>
                </xdr:sp>
                <xdr:grpSp>
                  <xdr:nvGrpSpPr>
                    <xdr:cNvPr id="112" name="Shape 112" title="Dibujo">
                      <a:extLst>
                        <a:ext uri="{FF2B5EF4-FFF2-40B4-BE49-F238E27FC236}">
                          <a16:creationId xmlns:a16="http://schemas.microsoft.com/office/drawing/2014/main" id="{00000000-0008-0000-0300-000070000000}"/>
                        </a:ext>
                      </a:extLst>
                    </xdr:cNvPr>
                    <xdr:cNvGrpSpPr/>
                  </xdr:nvGrpSpPr>
                  <xdr:grpSpPr>
                    <a:xfrm>
                      <a:off x="-4479791" y="3141976"/>
                      <a:ext cx="15002630" cy="1616412"/>
                      <a:chOff x="-4479791" y="3141976"/>
                      <a:chExt cx="15002631" cy="1616412"/>
                    </a:xfrm>
                  </xdr:grpSpPr>
                  <xdr:sp macro="" textlink="">
                    <xdr:nvSpPr>
                      <xdr:cNvPr id="113" name="Shape 113">
                        <a:extLst>
                          <a:ext uri="{FF2B5EF4-FFF2-40B4-BE49-F238E27FC236}">
                            <a16:creationId xmlns:a16="http://schemas.microsoft.com/office/drawing/2014/main" id="{00000000-0008-0000-0300-000071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000"/>
                      </a:p>
                    </xdr:txBody>
                  </xdr:sp>
                  <xdr:grpSp>
                    <xdr:nvGrpSpPr>
                      <xdr:cNvPr id="114" name="Shape 114">
                        <a:extLst>
                          <a:ext uri="{FF2B5EF4-FFF2-40B4-BE49-F238E27FC236}">
                            <a16:creationId xmlns:a16="http://schemas.microsoft.com/office/drawing/2014/main" id="{00000000-0008-0000-0300-000072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4479791" y="3141976"/>
                        <a:ext cx="15002631" cy="1616412"/>
                        <a:chOff x="-4479791" y="3141976"/>
                        <a:chExt cx="15002628" cy="1616412"/>
                      </a:xfrm>
                    </xdr:grpSpPr>
                    <xdr:sp macro="" textlink="">
                      <xdr:nvSpPr>
                        <xdr:cNvPr id="115" name="Shape 115">
                          <a:extLst>
                            <a:ext uri="{FF2B5EF4-FFF2-40B4-BE49-F238E27FC236}">
                              <a16:creationId xmlns:a16="http://schemas.microsoft.com/office/drawing/2014/main" id="{00000000-0008-0000-0300-000073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000"/>
                        </a:p>
                      </xdr:txBody>
                    </xdr:sp>
                    <xdr:grpSp>
                      <xdr:nvGrpSpPr>
                        <xdr:cNvPr id="116" name="Shape 116">
                          <a:extLst>
                            <a:ext uri="{FF2B5EF4-FFF2-40B4-BE49-F238E27FC236}">
                              <a16:creationId xmlns:a16="http://schemas.microsoft.com/office/drawing/2014/main" id="{00000000-0008-0000-0300-000074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4479791" y="3141976"/>
                          <a:ext cx="15002628" cy="1616412"/>
                          <a:chOff x="-6612336" y="-206215"/>
                          <a:chExt cx="14231008" cy="1878860"/>
                        </a:xfrm>
                      </xdr:grpSpPr>
                      <xdr:sp macro="" textlink="">
                        <xdr:nvSpPr>
                          <xdr:cNvPr id="117" name="Shape 117">
                            <a:extLst>
                              <a:ext uri="{FF2B5EF4-FFF2-40B4-BE49-F238E27FC236}">
                                <a16:creationId xmlns:a16="http://schemas.microsoft.com/office/drawing/2014/main" id="{00000000-0008-0000-0300-000075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2000"/>
                          </a:p>
                        </xdr:txBody>
                      </xdr:sp>
                      <xdr:sp macro="" textlink="">
                        <xdr:nvSpPr>
                          <xdr:cNvPr id="118" name="Shape 118">
                            <a:extLst>
                              <a:ext uri="{FF2B5EF4-FFF2-40B4-BE49-F238E27FC236}">
                                <a16:creationId xmlns:a16="http://schemas.microsoft.com/office/drawing/2014/main" id="{00000000-0008-0000-0300-00007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119" name="Shape 119">
                            <a:extLst>
                              <a:ext uri="{FF2B5EF4-FFF2-40B4-BE49-F238E27FC236}">
                                <a16:creationId xmlns:a16="http://schemas.microsoft.com/office/drawing/2014/main" id="{00000000-0008-0000-0300-000077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120" name="Shape 120">
                            <a:extLst>
                              <a:ext uri="{FF2B5EF4-FFF2-40B4-BE49-F238E27FC236}">
                                <a16:creationId xmlns:a16="http://schemas.microsoft.com/office/drawing/2014/main" id="{00000000-0008-0000-0300-000078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21" name="Shape 121">
                            <a:extLst>
                              <a:ext uri="{FF2B5EF4-FFF2-40B4-BE49-F238E27FC236}">
                                <a16:creationId xmlns:a16="http://schemas.microsoft.com/office/drawing/2014/main" id="{00000000-0008-0000-0300-000079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22" name="Shape 122">
                            <a:extLst>
                              <a:ext uri="{FF2B5EF4-FFF2-40B4-BE49-F238E27FC236}">
                                <a16:creationId xmlns:a16="http://schemas.microsoft.com/office/drawing/2014/main" id="{00000000-0008-0000-0300-00007A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23" name="Shape 123">
                            <a:extLst>
                              <a:ext uri="{FF2B5EF4-FFF2-40B4-BE49-F238E27FC236}">
                                <a16:creationId xmlns:a16="http://schemas.microsoft.com/office/drawing/2014/main" id="{00000000-0008-0000-0300-00007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4" name="Shape 124">
                            <a:extLst>
                              <a:ext uri="{FF2B5EF4-FFF2-40B4-BE49-F238E27FC236}">
                                <a16:creationId xmlns:a16="http://schemas.microsoft.com/office/drawing/2014/main" id="{00000000-0008-0000-0300-00007C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5" name="Shape 125">
                            <a:extLst>
                              <a:ext uri="{FF2B5EF4-FFF2-40B4-BE49-F238E27FC236}">
                                <a16:creationId xmlns:a16="http://schemas.microsoft.com/office/drawing/2014/main" id="{00000000-0008-0000-0300-00007D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6" name="Shape 126">
                            <a:extLst>
                              <a:ext uri="{FF2B5EF4-FFF2-40B4-BE49-F238E27FC236}">
                                <a16:creationId xmlns:a16="http://schemas.microsoft.com/office/drawing/2014/main" id="{00000000-0008-0000-0300-00007E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7" name="Shape 127">
                            <a:extLst>
                              <a:ext uri="{FF2B5EF4-FFF2-40B4-BE49-F238E27FC236}">
                                <a16:creationId xmlns:a16="http://schemas.microsoft.com/office/drawing/2014/main" id="{00000000-0008-0000-0300-00007F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28" name="Shape 128">
                            <a:extLst>
                              <a:ext uri="{FF2B5EF4-FFF2-40B4-BE49-F238E27FC236}">
                                <a16:creationId xmlns:a16="http://schemas.microsoft.com/office/drawing/2014/main" id="{00000000-0008-0000-0300-000080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44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5400"/>
                          </a:p>
                        </xdr:txBody>
                      </xdr:sp>
                      <xdr:pic>
                        <xdr:nvPicPr>
                          <xdr:cNvPr id="129" name="Shape 129">
                            <a:extLst>
                              <a:ext uri="{FF2B5EF4-FFF2-40B4-BE49-F238E27FC236}">
                                <a16:creationId xmlns:a16="http://schemas.microsoft.com/office/drawing/2014/main" id="{00000000-0008-0000-0300-000081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 t="21521" b="20712"/>
                          <a:stretch/>
                        </xdr:blipFill>
                        <xdr:spPr>
                          <a:xfrm>
                            <a:off x="-6612336" y="-206215"/>
                            <a:ext cx="5289564" cy="187886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635000</xdr:colOff>
      <xdr:row>22</xdr:row>
      <xdr:rowOff>95250</xdr:rowOff>
    </xdr:from>
    <xdr:ext cx="8420100" cy="29654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444700" y="12896850"/>
          <a:ext cx="8420100" cy="296545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254000</xdr:colOff>
      <xdr:row>22</xdr:row>
      <xdr:rowOff>88900</xdr:rowOff>
    </xdr:from>
    <xdr:ext cx="18364200" cy="2872016"/>
    <xdr:grpSp>
      <xdr:nvGrpSpPr>
        <xdr:cNvPr id="34" name="Shape 2" title="Dibujo">
          <a:extLst>
            <a:ext uri="{FF2B5EF4-FFF2-40B4-BE49-F238E27FC236}">
              <a16:creationId xmlns:a16="http://schemas.microsoft.com/office/drawing/2014/main" id="{E2B0EF52-DE9A-44FC-9FEC-EC08088C3229}"/>
            </a:ext>
          </a:extLst>
        </xdr:cNvPr>
        <xdr:cNvGrpSpPr/>
      </xdr:nvGrpSpPr>
      <xdr:grpSpPr>
        <a:xfrm>
          <a:off x="6388100" y="13169900"/>
          <a:ext cx="18364200" cy="2872016"/>
          <a:chOff x="1355035" y="3194243"/>
          <a:chExt cx="7982205" cy="1172335"/>
        </a:xfrm>
      </xdr:grpSpPr>
      <xdr:grpSp>
        <xdr:nvGrpSpPr>
          <xdr:cNvPr id="35" name="Shape 25">
            <a:extLst>
              <a:ext uri="{FF2B5EF4-FFF2-40B4-BE49-F238E27FC236}">
                <a16:creationId xmlns:a16="http://schemas.microsoft.com/office/drawing/2014/main" id="{DC89D35A-EF22-4708-A20C-8C15656F0107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889F1FC7-F3B7-4C4B-A8A6-BC754A648EF2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/>
            </a:p>
          </xdr:txBody>
        </xdr:sp>
        <xdr:grpSp>
          <xdr:nvGrpSpPr>
            <xdr:cNvPr id="37" name="Shape 26">
              <a:extLst>
                <a:ext uri="{FF2B5EF4-FFF2-40B4-BE49-F238E27FC236}">
                  <a16:creationId xmlns:a16="http://schemas.microsoft.com/office/drawing/2014/main" id="{8C126638-0B08-426A-B9A9-5485EDD56269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38" name="Shape 27">
                <a:extLst>
                  <a:ext uri="{FF2B5EF4-FFF2-40B4-BE49-F238E27FC236}">
                    <a16:creationId xmlns:a16="http://schemas.microsoft.com/office/drawing/2014/main" id="{ED9AAF3A-995C-4EA3-BF85-3083D2C53A36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800"/>
              </a:p>
            </xdr:txBody>
          </xdr:sp>
          <xdr:grpSp>
            <xdr:nvGrpSpPr>
              <xdr:cNvPr id="39" name="Shape 28">
                <a:extLst>
                  <a:ext uri="{FF2B5EF4-FFF2-40B4-BE49-F238E27FC236}">
                    <a16:creationId xmlns:a16="http://schemas.microsoft.com/office/drawing/2014/main" id="{666F9974-CC5F-490A-ABC7-15A6BC7EA2A4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40" name="Shape 29">
                  <a:extLst>
                    <a:ext uri="{FF2B5EF4-FFF2-40B4-BE49-F238E27FC236}">
                      <a16:creationId xmlns:a16="http://schemas.microsoft.com/office/drawing/2014/main" id="{F5C4F69F-7807-4E5C-B716-E8CAAF043DA8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800"/>
                </a:p>
              </xdr:txBody>
            </xdr:sp>
            <xdr:grpSp>
              <xdr:nvGrpSpPr>
                <xdr:cNvPr id="41" name="Shape 30">
                  <a:extLst>
                    <a:ext uri="{FF2B5EF4-FFF2-40B4-BE49-F238E27FC236}">
                      <a16:creationId xmlns:a16="http://schemas.microsoft.com/office/drawing/2014/main" id="{06CDDBF2-6450-4F31-92A5-B3B9D106291E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42" name="Shape 31">
                    <a:extLst>
                      <a:ext uri="{FF2B5EF4-FFF2-40B4-BE49-F238E27FC236}">
                        <a16:creationId xmlns:a16="http://schemas.microsoft.com/office/drawing/2014/main" id="{2142DD8A-D29C-4CC2-8288-47F63B6C8A5C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800"/>
                  </a:p>
                </xdr:txBody>
              </xdr:sp>
              <xdr:grpSp>
                <xdr:nvGrpSpPr>
                  <xdr:cNvPr id="43" name="Shape 33">
                    <a:extLst>
                      <a:ext uri="{FF2B5EF4-FFF2-40B4-BE49-F238E27FC236}">
                        <a16:creationId xmlns:a16="http://schemas.microsoft.com/office/drawing/2014/main" id="{AD321F08-4B05-473F-A03E-B0611BD353F2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59" name="Shape 34">
                      <a:extLst>
                        <a:ext uri="{FF2B5EF4-FFF2-40B4-BE49-F238E27FC236}">
                          <a16:creationId xmlns:a16="http://schemas.microsoft.com/office/drawing/2014/main" id="{A2955EE6-7C85-4B27-868C-1597B46BB666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61" name="Shape 35">
                        <a:extLst>
                          <a:ext uri="{FF2B5EF4-FFF2-40B4-BE49-F238E27FC236}">
                            <a16:creationId xmlns:a16="http://schemas.microsoft.com/office/drawing/2014/main" id="{5EC45EBF-CCE0-4B0F-AE9D-1128D84B08D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2" name="Shape 39">
                        <a:extLst>
                          <a:ext uri="{FF2B5EF4-FFF2-40B4-BE49-F238E27FC236}">
                            <a16:creationId xmlns:a16="http://schemas.microsoft.com/office/drawing/2014/main" id="{9F0FF1E9-1882-459E-B724-75926278260B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63" name="Shape 40">
                        <a:extLst>
                          <a:ext uri="{FF2B5EF4-FFF2-40B4-BE49-F238E27FC236}">
                            <a16:creationId xmlns:a16="http://schemas.microsoft.com/office/drawing/2014/main" id="{78339BB7-598B-48C7-9BF9-995B630A2EFA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64" name="Shape 41">
                        <a:extLst>
                          <a:ext uri="{FF2B5EF4-FFF2-40B4-BE49-F238E27FC236}">
                            <a16:creationId xmlns:a16="http://schemas.microsoft.com/office/drawing/2014/main" id="{5C254820-4FBC-4825-BB62-2D2A549A938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5" name="Shape 43">
                        <a:extLst>
                          <a:ext uri="{FF2B5EF4-FFF2-40B4-BE49-F238E27FC236}">
                            <a16:creationId xmlns:a16="http://schemas.microsoft.com/office/drawing/2014/main" id="{90170780-9146-4D92-B1B5-7138D992786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00265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6" name="Shape 44">
                        <a:extLst>
                          <a:ext uri="{FF2B5EF4-FFF2-40B4-BE49-F238E27FC236}">
                            <a16:creationId xmlns:a16="http://schemas.microsoft.com/office/drawing/2014/main" id="{23E333BB-4077-4F78-8A41-3F9B1BEE147B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60" name="Shape 45">
                      <a:extLst>
                        <a:ext uri="{FF2B5EF4-FFF2-40B4-BE49-F238E27FC236}">
                          <a16:creationId xmlns:a16="http://schemas.microsoft.com/office/drawing/2014/main" id="{442CC2C2-8B46-4700-B4B1-2B10749FF482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2060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4" name="Shape 48">
                    <a:extLst>
                      <a:ext uri="{FF2B5EF4-FFF2-40B4-BE49-F238E27FC236}">
                        <a16:creationId xmlns:a16="http://schemas.microsoft.com/office/drawing/2014/main" id="{C7E65FCD-20D7-4066-8056-E4FD121FE3FC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51" name="Shape 49">
                      <a:extLst>
                        <a:ext uri="{FF2B5EF4-FFF2-40B4-BE49-F238E27FC236}">
                          <a16:creationId xmlns:a16="http://schemas.microsoft.com/office/drawing/2014/main" id="{28B4FC18-574B-45C1-9AC8-3904019DE2D7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53" name="Shape 50">
                        <a:extLst>
                          <a:ext uri="{FF2B5EF4-FFF2-40B4-BE49-F238E27FC236}">
                            <a16:creationId xmlns:a16="http://schemas.microsoft.com/office/drawing/2014/main" id="{66A4FCAC-295E-4DB5-84B3-9BF6A4C4BAE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4" name="Shape 54">
                        <a:extLst>
                          <a:ext uri="{FF2B5EF4-FFF2-40B4-BE49-F238E27FC236}">
                            <a16:creationId xmlns:a16="http://schemas.microsoft.com/office/drawing/2014/main" id="{E81BCC27-C281-4F07-A1CE-9A24B112784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55" name="Shape 55">
                        <a:extLst>
                          <a:ext uri="{FF2B5EF4-FFF2-40B4-BE49-F238E27FC236}">
                            <a16:creationId xmlns:a16="http://schemas.microsoft.com/office/drawing/2014/main" id="{38D3AF8D-6C2C-4DA9-93B6-6041DCAD3FD0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56" name="Shape 56">
                        <a:extLst>
                          <a:ext uri="{FF2B5EF4-FFF2-40B4-BE49-F238E27FC236}">
                            <a16:creationId xmlns:a16="http://schemas.microsoft.com/office/drawing/2014/main" id="{718D0FD2-94E2-4430-9CD6-7DBCC249EC56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7" name="Shape 58">
                        <a:extLst>
                          <a:ext uri="{FF2B5EF4-FFF2-40B4-BE49-F238E27FC236}">
                            <a16:creationId xmlns:a16="http://schemas.microsoft.com/office/drawing/2014/main" id="{947F6830-1A66-47E5-BBF8-497C9E128243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25978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58" name="Shape 59">
                        <a:extLst>
                          <a:ext uri="{FF2B5EF4-FFF2-40B4-BE49-F238E27FC236}">
                            <a16:creationId xmlns:a16="http://schemas.microsoft.com/office/drawing/2014/main" id="{D8F6C514-3643-4CFD-B7C7-FE2ACACF0DD7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52" name="Shape 60">
                      <a:extLst>
                        <a:ext uri="{FF2B5EF4-FFF2-40B4-BE49-F238E27FC236}">
                          <a16:creationId xmlns:a16="http://schemas.microsoft.com/office/drawing/2014/main" id="{B3FA95DF-82C0-4B1D-B69E-50FDFF769307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2012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5" name="Shape 66">
                    <a:extLst>
                      <a:ext uri="{FF2B5EF4-FFF2-40B4-BE49-F238E27FC236}">
                        <a16:creationId xmlns:a16="http://schemas.microsoft.com/office/drawing/2014/main" id="{C3B864B0-367E-47A3-BDEC-DAF3DC1201EF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46" name="Shape 67">
                      <a:extLst>
                        <a:ext uri="{FF2B5EF4-FFF2-40B4-BE49-F238E27FC236}">
                          <a16:creationId xmlns:a16="http://schemas.microsoft.com/office/drawing/2014/main" id="{FC2709BF-72E8-4E87-BED3-D59A4BE949D2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18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47" name="Shape 70">
                      <a:extLst>
                        <a:ext uri="{FF2B5EF4-FFF2-40B4-BE49-F238E27FC236}">
                          <a16:creationId xmlns:a16="http://schemas.microsoft.com/office/drawing/2014/main" id="{F2675D37-33A9-4799-84C9-1613E5C2D9E1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800"/>
                    </a:p>
                  </xdr:txBody>
                </xdr:sp>
                <xdr:cxnSp macro="">
                  <xdr:nvCxnSpPr>
                    <xdr:cNvPr id="48" name="Shape 71">
                      <a:extLst>
                        <a:ext uri="{FF2B5EF4-FFF2-40B4-BE49-F238E27FC236}">
                          <a16:creationId xmlns:a16="http://schemas.microsoft.com/office/drawing/2014/main" id="{E80B32B2-59F9-40CE-A871-8E55B96B39A5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49" name="Shape 72">
                      <a:extLst>
                        <a:ext uri="{FF2B5EF4-FFF2-40B4-BE49-F238E27FC236}">
                          <a16:creationId xmlns:a16="http://schemas.microsoft.com/office/drawing/2014/main" id="{0009B20C-0C6A-44A1-98D6-B0541EECABAC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50" name="Shape 75">
                      <a:extLst>
                        <a:ext uri="{FF2B5EF4-FFF2-40B4-BE49-F238E27FC236}">
                          <a16:creationId xmlns:a16="http://schemas.microsoft.com/office/drawing/2014/main" id="{4B6EE75F-8092-44A0-AF7F-B81D63ABAA56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8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 editAs="oneCell">
    <xdr:from>
      <xdr:col>6</xdr:col>
      <xdr:colOff>2400300</xdr:colOff>
      <xdr:row>30</xdr:row>
      <xdr:rowOff>63500</xdr:rowOff>
    </xdr:from>
    <xdr:to>
      <xdr:col>7</xdr:col>
      <xdr:colOff>1119124</xdr:colOff>
      <xdr:row>39</xdr:row>
      <xdr:rowOff>80182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61268D9C-0C12-409B-9A2D-38E27CAD4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4400" y="14185900"/>
          <a:ext cx="2097024" cy="1502582"/>
        </a:xfrm>
        <a:prstGeom prst="rect">
          <a:avLst/>
        </a:prstGeom>
      </xdr:spPr>
    </xdr:pic>
    <xdr:clientData/>
  </xdr:twoCellAnchor>
  <xdr:twoCellAnchor>
    <xdr:from>
      <xdr:col>6</xdr:col>
      <xdr:colOff>444500</xdr:colOff>
      <xdr:row>29</xdr:row>
      <xdr:rowOff>127000</xdr:rowOff>
    </xdr:from>
    <xdr:to>
      <xdr:col>8</xdr:col>
      <xdr:colOff>381000</xdr:colOff>
      <xdr:row>29</xdr:row>
      <xdr:rowOff>127000</xdr:rowOff>
    </xdr:to>
    <xdr:cxnSp macro="">
      <xdr:nvCxnSpPr>
        <xdr:cNvPr id="68" name="Shape 60">
          <a:extLst>
            <a:ext uri="{FF2B5EF4-FFF2-40B4-BE49-F238E27FC236}">
              <a16:creationId xmlns:a16="http://schemas.microsoft.com/office/drawing/2014/main" id="{30FA51EB-C832-44F9-8BEB-E5D79D4E109B}"/>
            </a:ext>
          </a:extLst>
        </xdr:cNvPr>
        <xdr:cNvCxnSpPr/>
      </xdr:nvCxnSpPr>
      <xdr:spPr>
        <a:xfrm>
          <a:off x="6578600" y="14084300"/>
          <a:ext cx="604520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>
    <xdr:from>
      <xdr:col>6</xdr:col>
      <xdr:colOff>660400</xdr:colOff>
      <xdr:row>30</xdr:row>
      <xdr:rowOff>12700</xdr:rowOff>
    </xdr:from>
    <xdr:to>
      <xdr:col>6</xdr:col>
      <xdr:colOff>1801448</xdr:colOff>
      <xdr:row>33</xdr:row>
      <xdr:rowOff>9733</xdr:rowOff>
    </xdr:to>
    <xdr:sp macro="" textlink="">
      <xdr:nvSpPr>
        <xdr:cNvPr id="70" name="Shape 58">
          <a:extLst>
            <a:ext uri="{FF2B5EF4-FFF2-40B4-BE49-F238E27FC236}">
              <a16:creationId xmlns:a16="http://schemas.microsoft.com/office/drawing/2014/main" id="{62A7A774-D586-4F44-A845-185B788555AB}"/>
            </a:ext>
          </a:extLst>
        </xdr:cNvPr>
        <xdr:cNvSpPr txBox="1"/>
      </xdr:nvSpPr>
      <xdr:spPr>
        <a:xfrm>
          <a:off x="6794500" y="14135100"/>
          <a:ext cx="1141048" cy="492333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8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800"/>
        </a:p>
      </xdr:txBody>
    </xdr:sp>
    <xdr:clientData/>
  </xdr:twoCellAnchor>
  <xdr:twoCellAnchor editAs="oneCell">
    <xdr:from>
      <xdr:col>11</xdr:col>
      <xdr:colOff>203200</xdr:colOff>
      <xdr:row>30</xdr:row>
      <xdr:rowOff>76200</xdr:rowOff>
    </xdr:from>
    <xdr:to>
      <xdr:col>14</xdr:col>
      <xdr:colOff>76200</xdr:colOff>
      <xdr:row>39</xdr:row>
      <xdr:rowOff>37973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EE23751A-04FE-4275-94DC-59D117E78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46300" y="14198600"/>
          <a:ext cx="2273300" cy="1447673"/>
        </a:xfrm>
        <a:prstGeom prst="rect">
          <a:avLst/>
        </a:prstGeom>
      </xdr:spPr>
    </xdr:pic>
    <xdr:clientData/>
  </xdr:twoCellAnchor>
  <xdr:twoCellAnchor editAs="oneCell">
    <xdr:from>
      <xdr:col>17</xdr:col>
      <xdr:colOff>990600</xdr:colOff>
      <xdr:row>30</xdr:row>
      <xdr:rowOff>50800</xdr:rowOff>
    </xdr:from>
    <xdr:to>
      <xdr:col>17</xdr:col>
      <xdr:colOff>3263900</xdr:colOff>
      <xdr:row>39</xdr:row>
      <xdr:rowOff>12573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5E46BEC7-0CD8-47B7-AC98-3E487689B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0700" y="14173200"/>
          <a:ext cx="2273300" cy="14476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1524000</xdr:colOff>
      <xdr:row>0</xdr:row>
      <xdr:rowOff>114298</xdr:rowOff>
    </xdr:from>
    <xdr:ext cx="15184119" cy="1460503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pSpPr/>
      </xdr:nvGrpSpPr>
      <xdr:grpSpPr>
        <a:xfrm>
          <a:off x="4902200" y="114298"/>
          <a:ext cx="15184119" cy="1460503"/>
          <a:chOff x="-3108718" y="3381403"/>
          <a:chExt cx="13502968" cy="859468"/>
        </a:xfrm>
      </xdr:grpSpPr>
      <xdr:grpSp>
        <xdr:nvGrpSpPr>
          <xdr:cNvPr id="130" name="Shape 130">
            <a:extLst>
              <a:ext uri="{FF2B5EF4-FFF2-40B4-BE49-F238E27FC236}">
                <a16:creationId xmlns:a16="http://schemas.microsoft.com/office/drawing/2014/main" id="{00000000-0008-0000-0400-000082000000}"/>
              </a:ext>
            </a:extLst>
          </xdr:cNvPr>
          <xdr:cNvGrpSpPr/>
        </xdr:nvGrpSpPr>
        <xdr:grpSpPr>
          <a:xfrm>
            <a:off x="-3108718" y="3381403"/>
            <a:ext cx="13502968" cy="859468"/>
            <a:chOff x="-3108718" y="3381403"/>
            <a:chExt cx="13502968" cy="859468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400-000004000000}"/>
                </a:ext>
              </a:extLst>
            </xdr:cNvPr>
            <xdr:cNvSpPr/>
          </xdr:nvSpPr>
          <xdr:spPr>
            <a:xfrm>
              <a:off x="297750" y="3384713"/>
              <a:ext cx="10096500" cy="7905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2000"/>
            </a:p>
          </xdr:txBody>
        </xdr:sp>
        <xdr:grpSp>
          <xdr:nvGrpSpPr>
            <xdr:cNvPr id="131" name="Shape 131">
              <a:extLst>
                <a:ext uri="{FF2B5EF4-FFF2-40B4-BE49-F238E27FC236}">
                  <a16:creationId xmlns:a16="http://schemas.microsoft.com/office/drawing/2014/main" id="{00000000-0008-0000-0400-000083000000}"/>
                </a:ext>
              </a:extLst>
            </xdr:cNvPr>
            <xdr:cNvGrpSpPr/>
          </xdr:nvGrpSpPr>
          <xdr:grpSpPr>
            <a:xfrm>
              <a:off x="-3108718" y="3381403"/>
              <a:ext cx="13502968" cy="859468"/>
              <a:chOff x="-3108718" y="3381403"/>
              <a:chExt cx="13502968" cy="859468"/>
            </a:xfrm>
          </xdr:grpSpPr>
          <xdr:sp macro="" textlink="">
            <xdr:nvSpPr>
              <xdr:cNvPr id="132" name="Shape 132">
                <a:extLst>
                  <a:ext uri="{FF2B5EF4-FFF2-40B4-BE49-F238E27FC236}">
                    <a16:creationId xmlns:a16="http://schemas.microsoft.com/office/drawing/2014/main" id="{00000000-0008-0000-0400-000084000000}"/>
                  </a:ext>
                </a:extLst>
              </xdr:cNvPr>
              <xdr:cNvSpPr/>
            </xdr:nvSpPr>
            <xdr:spPr>
              <a:xfrm>
                <a:off x="297750" y="3384713"/>
                <a:ext cx="10096500" cy="7905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2000"/>
              </a:p>
            </xdr:txBody>
          </xdr:sp>
          <xdr:grpSp>
            <xdr:nvGrpSpPr>
              <xdr:cNvPr id="133" name="Shape 133">
                <a:extLst>
                  <a:ext uri="{FF2B5EF4-FFF2-40B4-BE49-F238E27FC236}">
                    <a16:creationId xmlns:a16="http://schemas.microsoft.com/office/drawing/2014/main" id="{00000000-0008-0000-0400-000085000000}"/>
                  </a:ext>
                </a:extLst>
              </xdr:cNvPr>
              <xdr:cNvGrpSpPr/>
            </xdr:nvGrpSpPr>
            <xdr:grpSpPr>
              <a:xfrm>
                <a:off x="-3108718" y="3381403"/>
                <a:ext cx="13502968" cy="859468"/>
                <a:chOff x="-3108718" y="3381403"/>
                <a:chExt cx="13502968" cy="859468"/>
              </a:xfrm>
            </xdr:grpSpPr>
            <xdr:sp macro="" textlink="">
              <xdr:nvSpPr>
                <xdr:cNvPr id="134" name="Shape 134">
                  <a:extLst>
                    <a:ext uri="{FF2B5EF4-FFF2-40B4-BE49-F238E27FC236}">
                      <a16:creationId xmlns:a16="http://schemas.microsoft.com/office/drawing/2014/main" id="{00000000-0008-0000-0400-000086000000}"/>
                    </a:ext>
                  </a:extLst>
                </xdr:cNvPr>
                <xdr:cNvSpPr/>
              </xdr:nvSpPr>
              <xdr:spPr>
                <a:xfrm>
                  <a:off x="297750" y="3384713"/>
                  <a:ext cx="10096500" cy="7905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2000"/>
                </a:p>
              </xdr:txBody>
            </xdr:sp>
            <xdr:grpSp>
              <xdr:nvGrpSpPr>
                <xdr:cNvPr id="135" name="Shape 135">
                  <a:extLst>
                    <a:ext uri="{FF2B5EF4-FFF2-40B4-BE49-F238E27FC236}">
                      <a16:creationId xmlns:a16="http://schemas.microsoft.com/office/drawing/2014/main" id="{00000000-0008-0000-0400-000087000000}"/>
                    </a:ext>
                  </a:extLst>
                </xdr:cNvPr>
                <xdr:cNvGrpSpPr/>
              </xdr:nvGrpSpPr>
              <xdr:grpSpPr>
                <a:xfrm>
                  <a:off x="-3108718" y="3381403"/>
                  <a:ext cx="13502968" cy="859468"/>
                  <a:chOff x="-3108718" y="3381403"/>
                  <a:chExt cx="13502968" cy="859468"/>
                </a:xfrm>
              </xdr:grpSpPr>
              <xdr:sp macro="" textlink="">
                <xdr:nvSpPr>
                  <xdr:cNvPr id="136" name="Shape 136">
                    <a:extLst>
                      <a:ext uri="{FF2B5EF4-FFF2-40B4-BE49-F238E27FC236}">
                        <a16:creationId xmlns:a16="http://schemas.microsoft.com/office/drawing/2014/main" id="{00000000-0008-0000-0400-000088000000}"/>
                      </a:ext>
                    </a:extLst>
                  </xdr:cNvPr>
                  <xdr:cNvSpPr/>
                </xdr:nvSpPr>
                <xdr:spPr>
                  <a:xfrm>
                    <a:off x="297750" y="3384713"/>
                    <a:ext cx="10096500" cy="7905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2000"/>
                  </a:p>
                </xdr:txBody>
              </xdr:sp>
              <xdr:grpSp>
                <xdr:nvGrpSpPr>
                  <xdr:cNvPr id="137" name="Shape 137">
                    <a:extLst>
                      <a:ext uri="{FF2B5EF4-FFF2-40B4-BE49-F238E27FC236}">
                        <a16:creationId xmlns:a16="http://schemas.microsoft.com/office/drawing/2014/main" id="{00000000-0008-0000-0400-000089000000}"/>
                      </a:ext>
                    </a:extLst>
                  </xdr:cNvPr>
                  <xdr:cNvGrpSpPr/>
                </xdr:nvGrpSpPr>
                <xdr:grpSpPr>
                  <a:xfrm>
                    <a:off x="-3108718" y="3381403"/>
                    <a:ext cx="13502968" cy="859468"/>
                    <a:chOff x="-3324074" y="3208521"/>
                    <a:chExt cx="13846913" cy="1232251"/>
                  </a:xfrm>
                </xdr:grpSpPr>
                <xdr:sp macro="" textlink="">
                  <xdr:nvSpPr>
                    <xdr:cNvPr id="138" name="Shape 138">
                      <a:extLst>
                        <a:ext uri="{FF2B5EF4-FFF2-40B4-BE49-F238E27FC236}">
                          <a16:creationId xmlns:a16="http://schemas.microsoft.com/office/drawing/2014/main" id="{00000000-0008-0000-0400-00008A000000}"/>
                        </a:ext>
                      </a:extLst>
                    </xdr:cNvPr>
                    <xdr:cNvSpPr/>
                  </xdr:nvSpPr>
                  <xdr:spPr>
                    <a:xfrm>
                      <a:off x="169163" y="3213263"/>
                      <a:ext cx="10353675" cy="1133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2000"/>
                    </a:p>
                  </xdr:txBody>
                </xdr:sp>
                <xdr:grpSp>
                  <xdr:nvGrpSpPr>
                    <xdr:cNvPr id="139" name="Shape 139" title="Dibujo">
                      <a:extLst>
                        <a:ext uri="{FF2B5EF4-FFF2-40B4-BE49-F238E27FC236}">
                          <a16:creationId xmlns:a16="http://schemas.microsoft.com/office/drawing/2014/main" id="{00000000-0008-0000-0400-00008B000000}"/>
                        </a:ext>
                      </a:extLst>
                    </xdr:cNvPr>
                    <xdr:cNvGrpSpPr/>
                  </xdr:nvGrpSpPr>
                  <xdr:grpSpPr>
                    <a:xfrm>
                      <a:off x="-3324074" y="3208521"/>
                      <a:ext cx="13846913" cy="1232251"/>
                      <a:chOff x="-3324074" y="3208521"/>
                      <a:chExt cx="13846914" cy="1232251"/>
                    </a:xfrm>
                  </xdr:grpSpPr>
                  <xdr:sp macro="" textlink="">
                    <xdr:nvSpPr>
                      <xdr:cNvPr id="140" name="Shape 140">
                        <a:extLst>
                          <a:ext uri="{FF2B5EF4-FFF2-40B4-BE49-F238E27FC236}">
                            <a16:creationId xmlns:a16="http://schemas.microsoft.com/office/drawing/2014/main" id="{00000000-0008-0000-0400-00008C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169163" y="3213263"/>
                        <a:ext cx="10353675" cy="1133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2000"/>
                      </a:p>
                    </xdr:txBody>
                  </xdr:sp>
                  <xdr:grpSp>
                    <xdr:nvGrpSpPr>
                      <xdr:cNvPr id="141" name="Shape 141">
                        <a:extLst>
                          <a:ext uri="{FF2B5EF4-FFF2-40B4-BE49-F238E27FC236}">
                            <a16:creationId xmlns:a16="http://schemas.microsoft.com/office/drawing/2014/main" id="{00000000-0008-0000-0400-00008D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-3324074" y="3208521"/>
                        <a:ext cx="13846914" cy="1232251"/>
                        <a:chOff x="-3324074" y="3208521"/>
                        <a:chExt cx="13846911" cy="1232251"/>
                      </a:xfrm>
                    </xdr:grpSpPr>
                    <xdr:sp macro="" textlink="">
                      <xdr:nvSpPr>
                        <xdr:cNvPr id="142" name="Shape 142">
                          <a:extLst>
                            <a:ext uri="{FF2B5EF4-FFF2-40B4-BE49-F238E27FC236}">
                              <a16:creationId xmlns:a16="http://schemas.microsoft.com/office/drawing/2014/main" id="{00000000-0008-0000-0400-00008E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169163" y="3213263"/>
                          <a:ext cx="10353650" cy="11334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2000"/>
                        </a:p>
                      </xdr:txBody>
                    </xdr:sp>
                    <xdr:grpSp>
                      <xdr:nvGrpSpPr>
                        <xdr:cNvPr id="143" name="Shape 143">
                          <a:extLst>
                            <a:ext uri="{FF2B5EF4-FFF2-40B4-BE49-F238E27FC236}">
                              <a16:creationId xmlns:a16="http://schemas.microsoft.com/office/drawing/2014/main" id="{00000000-0008-0000-0400-00008F000000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-3324074" y="3208521"/>
                          <a:ext cx="13846911" cy="1232251"/>
                          <a:chOff x="-5516061" y="-128865"/>
                          <a:chExt cx="13134733" cy="1432326"/>
                        </a:xfrm>
                      </xdr:grpSpPr>
                      <xdr:sp macro="" textlink="">
                        <xdr:nvSpPr>
                          <xdr:cNvPr id="144" name="Shape 144">
                            <a:extLst>
                              <a:ext uri="{FF2B5EF4-FFF2-40B4-BE49-F238E27FC236}">
                                <a16:creationId xmlns:a16="http://schemas.microsoft.com/office/drawing/2014/main" id="{00000000-0008-0000-0400-000090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-2202489" y="-123353"/>
                            <a:ext cx="9821150" cy="1317500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  <xdr:txBody>
                          <a:bodyPr spcFirstLastPara="1" wrap="square" lIns="91425" tIns="91425" rIns="91425" bIns="91425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400"/>
                              <a:buFont typeface="Arial"/>
                              <a:buNone/>
                            </a:pPr>
                            <a:endParaRPr sz="2000"/>
                          </a:p>
                        </xdr:txBody>
                      </xdr:sp>
                      <xdr:sp macro="" textlink="">
                        <xdr:nvSpPr>
                          <xdr:cNvPr id="145" name="Shape 145">
                            <a:extLst>
                              <a:ext uri="{FF2B5EF4-FFF2-40B4-BE49-F238E27FC236}">
                                <a16:creationId xmlns:a16="http://schemas.microsoft.com/office/drawing/2014/main" id="{00000000-0008-0000-0400-000091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9570" y="26275"/>
                            <a:ext cx="1530569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PD-DOC-013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cxnSp macro="">
                        <xdr:nvCxnSpPr>
                          <xdr:cNvPr id="146" name="Shape 146">
                            <a:extLst>
                              <a:ext uri="{FF2B5EF4-FFF2-40B4-BE49-F238E27FC236}">
                                <a16:creationId xmlns:a16="http://schemas.microsoft.com/office/drawing/2014/main" id="{00000000-0008-0000-0400-000092000000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0" y="1194158"/>
                            <a:ext cx="7603434" cy="0"/>
                          </a:xfrm>
                          <a:prstGeom prst="straightConnector1">
                            <a:avLst/>
                          </a:prstGeom>
                          <a:noFill/>
                          <a:ln w="381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</xdr:cxnSp>
                      <xdr:sp macro="" textlink="">
                        <xdr:nvSpPr>
                          <xdr:cNvPr id="147" name="Shape 147">
                            <a:extLst>
                              <a:ext uri="{FF2B5EF4-FFF2-40B4-BE49-F238E27FC236}">
                                <a16:creationId xmlns:a16="http://schemas.microsoft.com/office/drawing/2014/main" id="{00000000-0008-0000-0400-000093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0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48" name="Shape 148">
                            <a:extLst>
                              <a:ext uri="{FF2B5EF4-FFF2-40B4-BE49-F238E27FC236}">
                                <a16:creationId xmlns:a16="http://schemas.microsoft.com/office/drawing/2014/main" id="{00000000-0008-0000-0400-000094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386053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49" name="Shape 149">
                            <a:extLst>
                              <a:ext uri="{FF2B5EF4-FFF2-40B4-BE49-F238E27FC236}">
                                <a16:creationId xmlns:a16="http://schemas.microsoft.com/office/drawing/2014/main" id="{00000000-0008-0000-0400-000095000000}"/>
                              </a:ext>
                            </a:extLst>
                          </xdr:cNvPr>
                          <xdr:cNvSpPr/>
                        </xdr:nvSpPr>
                        <xdr:spPr>
                          <a:xfrm>
                            <a:off x="5010793" y="772107"/>
                            <a:ext cx="2607879" cy="340069"/>
                          </a:xfrm>
                          <a:prstGeom prst="roundRect">
                            <a:avLst>
                              <a:gd name="adj" fmla="val 16667"/>
                            </a:avLst>
                          </a:prstGeom>
                          <a:noFill/>
                          <a:ln w="12700" cap="flat" cmpd="sng">
                            <a:solidFill>
                              <a:schemeClr val="dk1"/>
                            </a:solidFill>
                            <a:prstDash val="solid"/>
                            <a:miter lim="800000"/>
                            <a:headEnd type="none" w="sm" len="sm"/>
                            <a:tailEnd type="none" w="sm" len="sm"/>
                          </a:ln>
                        </xdr:spPr>
                        <xdr:txBody>
                          <a:bodyPr spcFirstLastPara="1" wrap="square" lIns="91425" tIns="45700" rIns="91425" bIns="45700" anchor="t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SzPts val="1100"/>
                              <a:buFont typeface="Arial"/>
                              <a:buNone/>
                            </a:pPr>
                            <a:endParaRPr sz="1600"/>
                          </a:p>
                        </xdr:txBody>
                      </xdr:sp>
                      <xdr:sp macro="" textlink="">
                        <xdr:nvSpPr>
                          <xdr:cNvPr id="150" name="Shape 150">
                            <a:extLst>
                              <a:ext uri="{FF2B5EF4-FFF2-40B4-BE49-F238E27FC236}">
                                <a16:creationId xmlns:a16="http://schemas.microsoft.com/office/drawing/2014/main" id="{00000000-0008-0000-0400-000096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83053" y="19706"/>
                            <a:ext cx="729155" cy="294845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Código: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1" name="Shape 151">
                            <a:extLst>
                              <a:ext uri="{FF2B5EF4-FFF2-40B4-BE49-F238E27FC236}">
                                <a16:creationId xmlns:a16="http://schemas.microsoft.com/office/drawing/2014/main" id="{00000000-0008-0000-0400-000097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56777" y="405759"/>
                            <a:ext cx="775138" cy="298724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Versión: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2" name="Shape 152">
                            <a:extLst>
                              <a:ext uri="{FF2B5EF4-FFF2-40B4-BE49-F238E27FC236}">
                                <a16:creationId xmlns:a16="http://schemas.microsoft.com/office/drawing/2014/main" id="{00000000-0008-0000-0400-000098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063347" y="791113"/>
                            <a:ext cx="913086" cy="294086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F. Aprob.: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3" name="Shape 153">
                            <a:extLst>
                              <a:ext uri="{FF2B5EF4-FFF2-40B4-BE49-F238E27FC236}">
                                <a16:creationId xmlns:a16="http://schemas.microsoft.com/office/drawing/2014/main" id="{00000000-0008-0000-0400-000099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83001" y="418897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003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4" name="Shape 154">
                            <a:extLst>
                              <a:ext uri="{FF2B5EF4-FFF2-40B4-BE49-F238E27FC236}">
                                <a16:creationId xmlns:a16="http://schemas.microsoft.com/office/drawing/2014/main" id="{00000000-0008-0000-0400-00009A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5976432" y="798381"/>
                            <a:ext cx="1530569" cy="29408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ctr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rgbClr val="000000"/>
                              </a:buClr>
                              <a:buSzPts val="1000"/>
                              <a:buFont typeface="Arial"/>
                              <a:buNone/>
                            </a:pPr>
                            <a:r>
                              <a:rPr lang="en-US" sz="1200">
                                <a:solidFill>
                                  <a:srgbClr val="000000"/>
                                </a:solidFill>
                                <a:latin typeface="Arial"/>
                                <a:ea typeface="Arial"/>
                                <a:cs typeface="Arial"/>
                                <a:sym typeface="Arial"/>
                              </a:rPr>
                              <a:t>17/04/2023</a:t>
                            </a:r>
                            <a:endParaRPr sz="1600">
                              <a:latin typeface="Century Gothic"/>
                              <a:ea typeface="Century Gothic"/>
                              <a:cs typeface="Century Gothic"/>
                              <a:sym typeface="Century Gothic"/>
                            </a:endParaRPr>
                          </a:p>
                        </xdr:txBody>
                      </xdr:sp>
                      <xdr:sp macro="" textlink="">
                        <xdr:nvSpPr>
                          <xdr:cNvPr id="155" name="Shape 155">
                            <a:extLst>
                              <a:ext uri="{FF2B5EF4-FFF2-40B4-BE49-F238E27FC236}">
                                <a16:creationId xmlns:a16="http://schemas.microsoft.com/office/drawing/2014/main" id="{00000000-0008-0000-0400-00009B000000}"/>
                              </a:ext>
                            </a:extLst>
                          </xdr:cNvPr>
                          <xdr:cNvSpPr txBox="1"/>
                        </xdr:nvSpPr>
                        <xdr:spPr>
                          <a:xfrm>
                            <a:off x="1050513" y="11979"/>
                            <a:ext cx="3916184" cy="1099037"/>
                          </a:xfrm>
                          <a:prstGeom prst="rect">
                            <a:avLst/>
                          </a:prstGeom>
                          <a:solidFill>
                            <a:schemeClr val="lt1"/>
                          </a:solidFill>
                          <a:ln>
                            <a:noFill/>
                          </a:ln>
                        </xdr:spPr>
                        <xdr:txBody>
                          <a:bodyPr spcFirstLastPara="1" wrap="square" lIns="91425" tIns="45700" rIns="91425" bIns="45700" anchor="ctr" anchorCtr="0">
                            <a:noAutofit/>
                          </a:bodyPr>
                          <a:lstStyle/>
                          <a:p>
                            <a:pPr marL="0" lvl="0" indent="0" algn="l" rtl="0">
                              <a:spcBef>
                                <a:spcPts val="0"/>
                              </a:spcBef>
                              <a:spcAft>
                                <a:spcPts val="0"/>
                              </a:spcAft>
                              <a:buClr>
                                <a:schemeClr val="dk1"/>
                              </a:buClr>
                              <a:buSzPts val="3200"/>
                              <a:buFont typeface="Calibri"/>
                              <a:buNone/>
                            </a:pPr>
                            <a:r>
                              <a:rPr lang="en-US" sz="4400" b="1">
                                <a:solidFill>
                                  <a:schemeClr val="dk1"/>
                                </a:solidFill>
                                <a:latin typeface="Calibri"/>
                                <a:ea typeface="Calibri"/>
                                <a:cs typeface="Calibri"/>
                                <a:sym typeface="Calibri"/>
                              </a:rPr>
                              <a:t>MATRIZ IPERC  </a:t>
                            </a:r>
                            <a:endParaRPr sz="5400"/>
                          </a:p>
                        </xdr:txBody>
                      </xdr:sp>
                      <xdr:pic>
                        <xdr:nvPicPr>
                          <xdr:cNvPr id="156" name="Shape 156">
                            <a:extLst>
                              <a:ext uri="{FF2B5EF4-FFF2-40B4-BE49-F238E27FC236}">
                                <a16:creationId xmlns:a16="http://schemas.microsoft.com/office/drawing/2014/main" id="{00000000-0008-0000-0400-00009C000000}"/>
                              </a:ext>
                            </a:extLst>
                          </xdr:cNvPr>
                          <xdr:cNvPicPr preferRelativeResize="0"/>
                        </xdr:nvPicPr>
                        <xdr:blipFill rotWithShape="1">
                          <a:blip xmlns:r="http://schemas.openxmlformats.org/officeDocument/2006/relationships" r:embed="rId1">
                            <a:extLst>
                              <a:ext uri="{28A0092B-C50C-407E-A947-70E740481C1C}">
                                <a14:useLocalDpi xmlns:a14="http://schemas.microsoft.com/office/drawing/2010/main" val="0"/>
                              </a:ext>
                            </a:extLst>
                          </a:blip>
                          <a:srcRect t="19908" b="20367"/>
                          <a:stretch/>
                        </xdr:blipFill>
                        <xdr:spPr>
                          <a:xfrm>
                            <a:off x="-5516061" y="-128865"/>
                            <a:ext cx="5602806" cy="1432326"/>
                          </a:xfrm>
                          <a:prstGeom prst="rect">
                            <a:avLst/>
                          </a:prstGeom>
                          <a:noFill/>
                          <a:ln>
                            <a:noFill/>
                          </a:ln>
                        </xdr:spPr>
                      </xdr:pic>
                    </xdr:grp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19</xdr:col>
      <xdr:colOff>825500</xdr:colOff>
      <xdr:row>30</xdr:row>
      <xdr:rowOff>57150</xdr:rowOff>
    </xdr:from>
    <xdr:ext cx="8629650" cy="3130550"/>
    <xdr:pic>
      <xdr:nvPicPr>
        <xdr:cNvPr id="3" name="image5.jp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7863800" y="20148550"/>
          <a:ext cx="8629650" cy="3130550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279400</xdr:colOff>
      <xdr:row>30</xdr:row>
      <xdr:rowOff>391885</xdr:rowOff>
    </xdr:from>
    <xdr:ext cx="18364200" cy="2872016"/>
    <xdr:grpSp>
      <xdr:nvGrpSpPr>
        <xdr:cNvPr id="34" name="Shape 2" title="Dibujo">
          <a:extLst>
            <a:ext uri="{FF2B5EF4-FFF2-40B4-BE49-F238E27FC236}">
              <a16:creationId xmlns:a16="http://schemas.microsoft.com/office/drawing/2014/main" id="{20331B2F-48F3-4885-BE67-8687CA9A9FC5}"/>
            </a:ext>
          </a:extLst>
        </xdr:cNvPr>
        <xdr:cNvGrpSpPr/>
      </xdr:nvGrpSpPr>
      <xdr:grpSpPr>
        <a:xfrm>
          <a:off x="3657600" y="20483285"/>
          <a:ext cx="18364200" cy="2872016"/>
          <a:chOff x="1355035" y="3194243"/>
          <a:chExt cx="7982205" cy="1172335"/>
        </a:xfrm>
      </xdr:grpSpPr>
      <xdr:grpSp>
        <xdr:nvGrpSpPr>
          <xdr:cNvPr id="35" name="Shape 25">
            <a:extLst>
              <a:ext uri="{FF2B5EF4-FFF2-40B4-BE49-F238E27FC236}">
                <a16:creationId xmlns:a16="http://schemas.microsoft.com/office/drawing/2014/main" id="{41703EBE-9668-45AC-990D-8815406A4BE9}"/>
              </a:ext>
            </a:extLst>
          </xdr:cNvPr>
          <xdr:cNvGrpSpPr/>
        </xdr:nvGrpSpPr>
        <xdr:grpSpPr>
          <a:xfrm>
            <a:off x="1355035" y="3194243"/>
            <a:ext cx="7982205" cy="1172335"/>
            <a:chOff x="1364550" y="3227550"/>
            <a:chExt cx="7963094" cy="1156149"/>
          </a:xfrm>
        </xdr:grpSpPr>
        <xdr:sp macro="" textlink="">
          <xdr:nvSpPr>
            <xdr:cNvPr id="36" name="Shape 4">
              <a:extLst>
                <a:ext uri="{FF2B5EF4-FFF2-40B4-BE49-F238E27FC236}">
                  <a16:creationId xmlns:a16="http://schemas.microsoft.com/office/drawing/2014/main" id="{B46A003C-3A35-4174-B642-9C6954C5E2C0}"/>
                </a:ext>
              </a:extLst>
            </xdr:cNvPr>
            <xdr:cNvSpPr/>
          </xdr:nvSpPr>
          <xdr:spPr>
            <a:xfrm>
              <a:off x="1364550" y="3227550"/>
              <a:ext cx="7962900" cy="1155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800"/>
            </a:p>
          </xdr:txBody>
        </xdr:sp>
        <xdr:grpSp>
          <xdr:nvGrpSpPr>
            <xdr:cNvPr id="37" name="Shape 26">
              <a:extLst>
                <a:ext uri="{FF2B5EF4-FFF2-40B4-BE49-F238E27FC236}">
                  <a16:creationId xmlns:a16="http://schemas.microsoft.com/office/drawing/2014/main" id="{E36A04B9-CCF1-4B56-8CDB-0240D3E7CD75}"/>
                </a:ext>
              </a:extLst>
            </xdr:cNvPr>
            <xdr:cNvGrpSpPr/>
          </xdr:nvGrpSpPr>
          <xdr:grpSpPr>
            <a:xfrm>
              <a:off x="1364550" y="3227553"/>
              <a:ext cx="7963094" cy="1156146"/>
              <a:chOff x="1364550" y="3227550"/>
              <a:chExt cx="7963094" cy="1156146"/>
            </a:xfrm>
          </xdr:grpSpPr>
          <xdr:sp macro="" textlink="">
            <xdr:nvSpPr>
              <xdr:cNvPr id="38" name="Shape 27">
                <a:extLst>
                  <a:ext uri="{FF2B5EF4-FFF2-40B4-BE49-F238E27FC236}">
                    <a16:creationId xmlns:a16="http://schemas.microsoft.com/office/drawing/2014/main" id="{3E857C54-9253-4779-A588-390562C6AC10}"/>
                  </a:ext>
                </a:extLst>
              </xdr:cNvPr>
              <xdr:cNvSpPr/>
            </xdr:nvSpPr>
            <xdr:spPr>
              <a:xfrm>
                <a:off x="1364550" y="3227550"/>
                <a:ext cx="79629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800"/>
              </a:p>
            </xdr:txBody>
          </xdr:sp>
          <xdr:grpSp>
            <xdr:nvGrpSpPr>
              <xdr:cNvPr id="39" name="Shape 28">
                <a:extLst>
                  <a:ext uri="{FF2B5EF4-FFF2-40B4-BE49-F238E27FC236}">
                    <a16:creationId xmlns:a16="http://schemas.microsoft.com/office/drawing/2014/main" id="{38FFB474-F068-414A-A636-4295A77931DA}"/>
                  </a:ext>
                </a:extLst>
              </xdr:cNvPr>
              <xdr:cNvGrpSpPr/>
            </xdr:nvGrpSpPr>
            <xdr:grpSpPr>
              <a:xfrm>
                <a:off x="1364550" y="3227550"/>
                <a:ext cx="7963094" cy="1156146"/>
                <a:chOff x="1364550" y="3227551"/>
                <a:chExt cx="7963094" cy="1156146"/>
              </a:xfrm>
            </xdr:grpSpPr>
            <xdr:sp macro="" textlink="">
              <xdr:nvSpPr>
                <xdr:cNvPr id="40" name="Shape 29">
                  <a:extLst>
                    <a:ext uri="{FF2B5EF4-FFF2-40B4-BE49-F238E27FC236}">
                      <a16:creationId xmlns:a16="http://schemas.microsoft.com/office/drawing/2014/main" id="{FCE1305A-6F29-4D80-91F4-77B12928D0DF}"/>
                    </a:ext>
                  </a:extLst>
                </xdr:cNvPr>
                <xdr:cNvSpPr/>
              </xdr:nvSpPr>
              <xdr:spPr>
                <a:xfrm>
                  <a:off x="1364550" y="3227551"/>
                  <a:ext cx="79629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800"/>
                </a:p>
              </xdr:txBody>
            </xdr:sp>
            <xdr:grpSp>
              <xdr:nvGrpSpPr>
                <xdr:cNvPr id="41" name="Shape 30">
                  <a:extLst>
                    <a:ext uri="{FF2B5EF4-FFF2-40B4-BE49-F238E27FC236}">
                      <a16:creationId xmlns:a16="http://schemas.microsoft.com/office/drawing/2014/main" id="{A59E0122-577E-4B54-84DA-1163495C2611}"/>
                    </a:ext>
                  </a:extLst>
                </xdr:cNvPr>
                <xdr:cNvGrpSpPr/>
              </xdr:nvGrpSpPr>
              <xdr:grpSpPr>
                <a:xfrm>
                  <a:off x="1364551" y="3228103"/>
                  <a:ext cx="7963093" cy="1155594"/>
                  <a:chOff x="141514" y="12252347"/>
                  <a:chExt cx="7573800" cy="959158"/>
                </a:xfrm>
              </xdr:grpSpPr>
              <xdr:sp macro="" textlink="">
                <xdr:nvSpPr>
                  <xdr:cNvPr id="42" name="Shape 31">
                    <a:extLst>
                      <a:ext uri="{FF2B5EF4-FFF2-40B4-BE49-F238E27FC236}">
                        <a16:creationId xmlns:a16="http://schemas.microsoft.com/office/drawing/2014/main" id="{D5F76B07-7FD5-46E7-BE3C-E6B5C2578DDE}"/>
                      </a:ext>
                    </a:extLst>
                  </xdr:cNvPr>
                  <xdr:cNvSpPr/>
                </xdr:nvSpPr>
                <xdr:spPr>
                  <a:xfrm>
                    <a:off x="141514" y="12252347"/>
                    <a:ext cx="7573800" cy="9171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800"/>
                  </a:p>
                </xdr:txBody>
              </xdr:sp>
              <xdr:grpSp>
                <xdr:nvGrpSpPr>
                  <xdr:cNvPr id="74" name="Shape 33">
                    <a:extLst>
                      <a:ext uri="{FF2B5EF4-FFF2-40B4-BE49-F238E27FC236}">
                        <a16:creationId xmlns:a16="http://schemas.microsoft.com/office/drawing/2014/main" id="{ABF524DD-D678-4295-8BC3-B18B993CED8D}"/>
                      </a:ext>
                    </a:extLst>
                  </xdr:cNvPr>
                  <xdr:cNvGrpSpPr/>
                </xdr:nvGrpSpPr>
                <xdr:grpSpPr>
                  <a:xfrm>
                    <a:off x="5365245" y="12292702"/>
                    <a:ext cx="2240901" cy="917171"/>
                    <a:chOff x="74315" y="5247372"/>
                    <a:chExt cx="2538978" cy="931800"/>
                  </a:xfrm>
                </xdr:grpSpPr>
                <xdr:grpSp>
                  <xdr:nvGrpSpPr>
                    <xdr:cNvPr id="76" name="Shape 34">
                      <a:extLst>
                        <a:ext uri="{FF2B5EF4-FFF2-40B4-BE49-F238E27FC236}">
                          <a16:creationId xmlns:a16="http://schemas.microsoft.com/office/drawing/2014/main" id="{C8BBF6E5-1B88-4F76-812B-9D93A2623055}"/>
                        </a:ext>
                      </a:extLst>
                    </xdr:cNvPr>
                    <xdr:cNvGrpSpPr/>
                  </xdr:nvGrpSpPr>
                  <xdr:grpSpPr>
                    <a:xfrm>
                      <a:off x="80004" y="5247372"/>
                      <a:ext cx="2533289" cy="931800"/>
                      <a:chOff x="80004" y="5247372"/>
                      <a:chExt cx="2533289" cy="931800"/>
                    </a:xfrm>
                  </xdr:grpSpPr>
                  <xdr:sp macro="" textlink="">
                    <xdr:nvSpPr>
                      <xdr:cNvPr id="78" name="Shape 35">
                        <a:extLst>
                          <a:ext uri="{FF2B5EF4-FFF2-40B4-BE49-F238E27FC236}">
                            <a16:creationId xmlns:a16="http://schemas.microsoft.com/office/drawing/2014/main" id="{1A8BE6A7-0868-4126-8B45-04F6FDE1A388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49647" y="5395448"/>
                        <a:ext cx="1318062" cy="25046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/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2" name="Shape 39">
                        <a:extLst>
                          <a:ext uri="{FF2B5EF4-FFF2-40B4-BE49-F238E27FC236}">
                            <a16:creationId xmlns:a16="http://schemas.microsoft.com/office/drawing/2014/main" id="{07FE00E9-C563-4815-8AA3-28C0A325CF77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2" y="5369190"/>
                        <a:ext cx="919638" cy="2541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83" name="Shape 40">
                        <a:extLst>
                          <a:ext uri="{FF2B5EF4-FFF2-40B4-BE49-F238E27FC236}">
                            <a16:creationId xmlns:a16="http://schemas.microsoft.com/office/drawing/2014/main" id="{52CEE6FE-5DCD-4AB3-90D7-845A7C999776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80004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84" name="Shape 41">
                        <a:extLst>
                          <a:ext uri="{FF2B5EF4-FFF2-40B4-BE49-F238E27FC236}">
                            <a16:creationId xmlns:a16="http://schemas.microsoft.com/office/drawing/2014/main" id="{AEC1EE28-FDAD-44D0-93AE-351E0B9BE9A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3360"/>
                        <a:ext cx="2200500" cy="130403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Aprobado: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6" name="Shape 43">
                        <a:extLst>
                          <a:ext uri="{FF2B5EF4-FFF2-40B4-BE49-F238E27FC236}">
                            <a16:creationId xmlns:a16="http://schemas.microsoft.com/office/drawing/2014/main" id="{85D308DD-9234-4EFA-A892-EC9AFEF6201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67563" y="5600265"/>
                        <a:ext cx="557634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87" name="Shape 44">
                        <a:extLst>
                          <a:ext uri="{FF2B5EF4-FFF2-40B4-BE49-F238E27FC236}">
                            <a16:creationId xmlns:a16="http://schemas.microsoft.com/office/drawing/2014/main" id="{14050906-9BED-43CE-859D-E5D5AAD38368}"/>
                          </a:ext>
                        </a:extLst>
                      </xdr:cNvPr>
                      <xdr:cNvSpPr/>
                    </xdr:nvSpPr>
                    <xdr:spPr>
                      <a:xfrm>
                        <a:off x="83993" y="5247372"/>
                        <a:ext cx="2529300" cy="9318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77" name="Shape 45">
                      <a:extLst>
                        <a:ext uri="{FF2B5EF4-FFF2-40B4-BE49-F238E27FC236}">
                          <a16:creationId xmlns:a16="http://schemas.microsoft.com/office/drawing/2014/main" id="{73BD80C5-1035-4F81-A49E-313D8EA50804}"/>
                        </a:ext>
                      </a:extLst>
                    </xdr:cNvPr>
                    <xdr:cNvCxnSpPr/>
                  </xdr:nvCxnSpPr>
                  <xdr:spPr>
                    <a:xfrm>
                      <a:off x="74315" y="562060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60" name="Shape 48">
                    <a:extLst>
                      <a:ext uri="{FF2B5EF4-FFF2-40B4-BE49-F238E27FC236}">
                        <a16:creationId xmlns:a16="http://schemas.microsoft.com/office/drawing/2014/main" id="{5DFB7D33-7719-4896-88BD-41FFE515FEE9}"/>
                      </a:ext>
                    </a:extLst>
                  </xdr:cNvPr>
                  <xdr:cNvGrpSpPr/>
                </xdr:nvGrpSpPr>
                <xdr:grpSpPr>
                  <a:xfrm>
                    <a:off x="2831476" y="12294296"/>
                    <a:ext cx="2382237" cy="917061"/>
                    <a:chOff x="59956" y="5250908"/>
                    <a:chExt cx="2535914" cy="928200"/>
                  </a:xfrm>
                </xdr:grpSpPr>
                <xdr:grpSp>
                  <xdr:nvGrpSpPr>
                    <xdr:cNvPr id="62" name="Shape 49">
                      <a:extLst>
                        <a:ext uri="{FF2B5EF4-FFF2-40B4-BE49-F238E27FC236}">
                          <a16:creationId xmlns:a16="http://schemas.microsoft.com/office/drawing/2014/main" id="{DFF2B216-5666-4A27-8717-2604ADDE2D63}"/>
                        </a:ext>
                      </a:extLst>
                    </xdr:cNvPr>
                    <xdr:cNvGrpSpPr/>
                  </xdr:nvGrpSpPr>
                  <xdr:grpSpPr>
                    <a:xfrm>
                      <a:off x="59956" y="5250908"/>
                      <a:ext cx="2535914" cy="928200"/>
                      <a:chOff x="59956" y="5250908"/>
                      <a:chExt cx="2535914" cy="928200"/>
                    </a:xfrm>
                  </xdr:grpSpPr>
                  <xdr:sp macro="" textlink="">
                    <xdr:nvSpPr>
                      <xdr:cNvPr id="64" name="Shape 50">
                        <a:extLst>
                          <a:ext uri="{FF2B5EF4-FFF2-40B4-BE49-F238E27FC236}">
                            <a16:creationId xmlns:a16="http://schemas.microsoft.com/office/drawing/2014/main" id="{7CA45F3A-8431-4B03-ABDF-60D41F5EB772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912795" y="5391070"/>
                        <a:ext cx="1354914" cy="238084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Omar Mendoza</a:t>
                        </a:r>
                        <a:endParaRPr sz="1800">
                          <a:latin typeface="Arial"/>
                          <a:ea typeface="Arial"/>
                          <a:cs typeface="Arial"/>
                          <a:sym typeface="Arial"/>
                        </a:endParaRPr>
                      </a:p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Gerente General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68" name="Shape 54">
                        <a:extLst>
                          <a:ext uri="{FF2B5EF4-FFF2-40B4-BE49-F238E27FC236}">
                            <a16:creationId xmlns:a16="http://schemas.microsoft.com/office/drawing/2014/main" id="{8CB4607A-74E5-4F26-BA31-0B45A4FF44AE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38348" y="5390760"/>
                        <a:ext cx="860100" cy="163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Nombre/Cargo:</a:t>
                        </a:r>
                        <a:endParaRPr sz="1800"/>
                      </a:p>
                    </xdr:txBody>
                  </xdr:sp>
                  <xdr:cxnSp macro="">
                    <xdr:nvCxnSpPr>
                      <xdr:cNvPr id="69" name="Shape 55">
                        <a:extLst>
                          <a:ext uri="{FF2B5EF4-FFF2-40B4-BE49-F238E27FC236}">
                            <a16:creationId xmlns:a16="http://schemas.microsoft.com/office/drawing/2014/main" id="{5CD71480-AE6A-4AAC-AB6D-EA4F14E81C64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64770" y="5397904"/>
                        <a:ext cx="2531100" cy="0"/>
                      </a:xfrm>
                      <a:prstGeom prst="straightConnector1">
                        <a:avLst/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</xdr:cxnSp>
                  <xdr:sp macro="" textlink="">
                    <xdr:nvSpPr>
                      <xdr:cNvPr id="70" name="Shape 56">
                        <a:extLst>
                          <a:ext uri="{FF2B5EF4-FFF2-40B4-BE49-F238E27FC236}">
                            <a16:creationId xmlns:a16="http://schemas.microsoft.com/office/drawing/2014/main" id="{C842A20D-9F2B-4E1C-A3BE-DC0F1250BF74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94310" y="5259559"/>
                        <a:ext cx="2200500" cy="124205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Revisado: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72" name="Shape 58">
                        <a:extLst>
                          <a:ext uri="{FF2B5EF4-FFF2-40B4-BE49-F238E27FC236}">
                            <a16:creationId xmlns:a16="http://schemas.microsoft.com/office/drawing/2014/main" id="{6F90ADBB-70E1-4B1C-A2ED-B10F1689557A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106794" y="5625978"/>
                        <a:ext cx="500951" cy="166500"/>
                      </a:xfrm>
                      <a:prstGeom prst="rect">
                        <a:avLst/>
                      </a:prstGeom>
                      <a:solidFill>
                        <a:schemeClr val="lt1"/>
                      </a:solidFill>
                      <a:ln>
                        <a:noFill/>
                      </a:ln>
                    </xdr:spPr>
                    <xdr:txBody>
                      <a:bodyPr spcFirstLastPara="1" wrap="square" lIns="91425" tIns="45700" rIns="91425" bIns="45700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Clr>
                            <a:schemeClr val="dk1"/>
                          </a:buClr>
                          <a:buSzPts val="700"/>
                          <a:buFont typeface="Arial"/>
                          <a:buNone/>
                        </a:pPr>
                        <a:r>
                          <a:rPr lang="en-US" sz="1800">
                            <a:solidFill>
                              <a:schemeClr val="dk1"/>
                            </a:solidFill>
                            <a:latin typeface="Arial"/>
                            <a:ea typeface="Arial"/>
                            <a:cs typeface="Arial"/>
                            <a:sym typeface="Arial"/>
                          </a:rPr>
                          <a:t>Firma:</a:t>
                        </a:r>
                        <a:endParaRPr sz="1800"/>
                      </a:p>
                    </xdr:txBody>
                  </xdr:sp>
                  <xdr:sp macro="" textlink="">
                    <xdr:nvSpPr>
                      <xdr:cNvPr id="73" name="Shape 59">
                        <a:extLst>
                          <a:ext uri="{FF2B5EF4-FFF2-40B4-BE49-F238E27FC236}">
                            <a16:creationId xmlns:a16="http://schemas.microsoft.com/office/drawing/2014/main" id="{970C2DB6-F752-4D0E-AC54-18F651F4A5BB}"/>
                          </a:ext>
                        </a:extLst>
                      </xdr:cNvPr>
                      <xdr:cNvSpPr/>
                    </xdr:nvSpPr>
                    <xdr:spPr>
                      <a:xfrm>
                        <a:off x="59956" y="5250908"/>
                        <a:ext cx="2531100" cy="928200"/>
                      </a:xfrm>
                      <a:prstGeom prst="roundRect">
                        <a:avLst>
                          <a:gd name="adj" fmla="val 16667"/>
                        </a:avLst>
                      </a:prstGeom>
                      <a:noFill/>
                      <a:ln w="12700" cap="flat" cmpd="sng">
                        <a:solidFill>
                          <a:schemeClr val="dk1"/>
                        </a:solidFill>
                        <a:prstDash val="solid"/>
                        <a:miter lim="800000"/>
                        <a:headEnd type="none" w="sm" len="sm"/>
                        <a:tailEnd type="none" w="sm" len="sm"/>
                      </a:ln>
                    </xdr:spPr>
                    <xdr:txBody>
                      <a:bodyPr spcFirstLastPara="1" wrap="square" lIns="91425" tIns="45700" rIns="91425" bIns="45700" anchor="t" anchorCtr="0">
                        <a:noAutofit/>
                      </a:bodyPr>
                      <a:lstStyle/>
                      <a:p>
                        <a:pPr marL="0" lvl="0" indent="0" algn="ctr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100"/>
                          <a:buFont typeface="Arial"/>
                          <a:buNone/>
                        </a:pPr>
                        <a:endParaRPr sz="1800"/>
                      </a:p>
                    </xdr:txBody>
                  </xdr:sp>
                </xdr:grpSp>
                <xdr:cxnSp macro="">
                  <xdr:nvCxnSpPr>
                    <xdr:cNvPr id="63" name="Shape 60">
                      <a:extLst>
                        <a:ext uri="{FF2B5EF4-FFF2-40B4-BE49-F238E27FC236}">
                          <a16:creationId xmlns:a16="http://schemas.microsoft.com/office/drawing/2014/main" id="{FFCB1400-55BF-4D2A-8E4B-5A65359E1319}"/>
                        </a:ext>
                      </a:extLst>
                    </xdr:cNvPr>
                    <xdr:cNvCxnSpPr/>
                  </xdr:nvCxnSpPr>
                  <xdr:spPr>
                    <a:xfrm>
                      <a:off x="62862" y="5620124"/>
                      <a:ext cx="25293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</xdr:grpSp>
              <xdr:grpSp>
                <xdr:nvGrpSpPr>
                  <xdr:cNvPr id="49" name="Shape 66">
                    <a:extLst>
                      <a:ext uri="{FF2B5EF4-FFF2-40B4-BE49-F238E27FC236}">
                        <a16:creationId xmlns:a16="http://schemas.microsoft.com/office/drawing/2014/main" id="{37095ED2-71D4-49E9-9857-00CF03FBDD9A}"/>
                      </a:ext>
                    </a:extLst>
                  </xdr:cNvPr>
                  <xdr:cNvGrpSpPr/>
                </xdr:nvGrpSpPr>
                <xdr:grpSpPr>
                  <a:xfrm>
                    <a:off x="235485" y="12294443"/>
                    <a:ext cx="2481614" cy="917062"/>
                    <a:chOff x="95879" y="5251527"/>
                    <a:chExt cx="2532001" cy="928200"/>
                  </a:xfrm>
                </xdr:grpSpPr>
                <xdr:sp macro="" textlink="">
                  <xdr:nvSpPr>
                    <xdr:cNvPr id="50" name="Shape 67">
                      <a:extLst>
                        <a:ext uri="{FF2B5EF4-FFF2-40B4-BE49-F238E27FC236}">
                          <a16:creationId xmlns:a16="http://schemas.microsoft.com/office/drawing/2014/main" id="{405C5F65-8344-45FD-A1A4-EA219F68E1E7}"/>
                        </a:ext>
                      </a:extLst>
                    </xdr:cNvPr>
                    <xdr:cNvSpPr txBox="1"/>
                  </xdr:nvSpPr>
                  <xdr:spPr>
                    <a:xfrm>
                      <a:off x="932796" y="5386773"/>
                      <a:ext cx="1334913" cy="161778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Erika Espinoza Arenas</a:t>
                      </a:r>
                      <a:endParaRPr sz="18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Coordinador SIG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53" name="Shape 70">
                      <a:extLst>
                        <a:ext uri="{FF2B5EF4-FFF2-40B4-BE49-F238E27FC236}">
                          <a16:creationId xmlns:a16="http://schemas.microsoft.com/office/drawing/2014/main" id="{36CEDD3D-E23A-49F4-97AA-878734E16210}"/>
                        </a:ext>
                      </a:extLst>
                    </xdr:cNvPr>
                    <xdr:cNvSpPr txBox="1"/>
                  </xdr:nvSpPr>
                  <xdr:spPr>
                    <a:xfrm>
                      <a:off x="187474" y="5386463"/>
                      <a:ext cx="860100" cy="163500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Nombre/Cargo:</a:t>
                      </a:r>
                      <a:endParaRPr sz="1800"/>
                    </a:p>
                  </xdr:txBody>
                </xdr:sp>
                <xdr:cxnSp macro="">
                  <xdr:nvCxnSpPr>
                    <xdr:cNvPr id="54" name="Shape 71">
                      <a:extLst>
                        <a:ext uri="{FF2B5EF4-FFF2-40B4-BE49-F238E27FC236}">
                          <a16:creationId xmlns:a16="http://schemas.microsoft.com/office/drawing/2014/main" id="{46399414-A69E-4BCF-AE1C-75F60D266988}"/>
                        </a:ext>
                      </a:extLst>
                    </xdr:cNvPr>
                    <xdr:cNvCxnSpPr/>
                  </xdr:nvCxnSpPr>
                  <xdr:spPr>
                    <a:xfrm>
                      <a:off x="96780" y="5397904"/>
                      <a:ext cx="2531100" cy="0"/>
                    </a:xfrm>
                    <a:prstGeom prst="straightConnector1">
                      <a:avLst/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</xdr:cxnSp>
                <xdr:sp macro="" textlink="">
                  <xdr:nvSpPr>
                    <xdr:cNvPr id="55" name="Shape 72">
                      <a:extLst>
                        <a:ext uri="{FF2B5EF4-FFF2-40B4-BE49-F238E27FC236}">
                          <a16:creationId xmlns:a16="http://schemas.microsoft.com/office/drawing/2014/main" id="{D7D1993D-4619-49C4-AC01-E55F630E0D59}"/>
                        </a:ext>
                      </a:extLst>
                    </xdr:cNvPr>
                    <xdr:cNvSpPr txBox="1"/>
                  </xdr:nvSpPr>
                  <xdr:spPr>
                    <a:xfrm>
                      <a:off x="194310" y="5260032"/>
                      <a:ext cx="2200500" cy="123731"/>
                    </a:xfrm>
                    <a:prstGeom prst="rect">
                      <a:avLst/>
                    </a:prstGeom>
                    <a:solidFill>
                      <a:schemeClr val="lt1"/>
                    </a:solidFill>
                    <a:ln>
                      <a:noFill/>
                    </a:ln>
                  </xdr:spPr>
                  <xdr:txBody>
                    <a:bodyPr spcFirstLastPara="1" wrap="square" lIns="91425" tIns="45700" rIns="91425" bIns="45700" anchor="ctr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700"/>
                        <a:buFont typeface="Arial"/>
                        <a:buNone/>
                      </a:pPr>
                      <a:r>
                        <a:rPr lang="en-US" sz="18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Elaborado:</a:t>
                      </a:r>
                      <a:endParaRPr sz="1800"/>
                    </a:p>
                  </xdr:txBody>
                </xdr:sp>
                <xdr:sp macro="" textlink="">
                  <xdr:nvSpPr>
                    <xdr:cNvPr id="58" name="Shape 75">
                      <a:extLst>
                        <a:ext uri="{FF2B5EF4-FFF2-40B4-BE49-F238E27FC236}">
                          <a16:creationId xmlns:a16="http://schemas.microsoft.com/office/drawing/2014/main" id="{D568B350-C1BE-49AB-BDEE-3903BD3CBD01}"/>
                        </a:ext>
                      </a:extLst>
                    </xdr:cNvPr>
                    <xdr:cNvSpPr/>
                  </xdr:nvSpPr>
                  <xdr:spPr>
                    <a:xfrm>
                      <a:off x="95879" y="5251527"/>
                      <a:ext cx="2529300" cy="928200"/>
                    </a:xfrm>
                    <a:prstGeom prst="roundRect">
                      <a:avLst>
                        <a:gd name="adj" fmla="val 16667"/>
                      </a:avLst>
                    </a:prstGeom>
                    <a:noFill/>
                    <a:ln w="12700" cap="flat" cmpd="sng">
                      <a:solidFill>
                        <a:schemeClr val="dk1"/>
                      </a:solidFill>
                      <a:prstDash val="solid"/>
                      <a:miter lim="800000"/>
                      <a:headEnd type="none" w="sm" len="sm"/>
                      <a:tailEnd type="none" w="sm" len="sm"/>
                    </a:ln>
                  </xdr:spPr>
                  <xdr:txBody>
                    <a:bodyPr spcFirstLastPara="1" wrap="square" lIns="91425" tIns="45700" rIns="91425" bIns="45700" anchor="t" anchorCtr="0">
                      <a:noAutofit/>
                    </a:bodyPr>
                    <a:lstStyle/>
                    <a:p>
                      <a:pPr marL="0" lvl="0" indent="0" algn="ctr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endParaRPr sz="1800"/>
                    </a:p>
                  </xdr:txBody>
                </xdr:sp>
              </xdr:grpSp>
            </xdr:grpSp>
          </xdr:grpSp>
        </xdr:grpSp>
      </xdr:grpSp>
    </xdr:grpSp>
    <xdr:clientData fLocksWithSheet="0"/>
  </xdr:oneCellAnchor>
  <xdr:twoCellAnchor>
    <xdr:from>
      <xdr:col>3</xdr:col>
      <xdr:colOff>627380</xdr:colOff>
      <xdr:row>35</xdr:row>
      <xdr:rowOff>68582</xdr:rowOff>
    </xdr:from>
    <xdr:to>
      <xdr:col>4</xdr:col>
      <xdr:colOff>165100</xdr:colOff>
      <xdr:row>38</xdr:row>
      <xdr:rowOff>461</xdr:rowOff>
    </xdr:to>
    <xdr:sp macro="" textlink="">
      <xdr:nvSpPr>
        <xdr:cNvPr id="88" name="Shape 58">
          <a:extLst>
            <a:ext uri="{FF2B5EF4-FFF2-40B4-BE49-F238E27FC236}">
              <a16:creationId xmlns:a16="http://schemas.microsoft.com/office/drawing/2014/main" id="{0D77B878-4693-46E8-82C9-910BE70466B0}"/>
            </a:ext>
          </a:extLst>
        </xdr:cNvPr>
        <xdr:cNvSpPr txBox="1"/>
      </xdr:nvSpPr>
      <xdr:spPr>
        <a:xfrm>
          <a:off x="4005580" y="21785582"/>
          <a:ext cx="1430020" cy="427179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700"/>
            <a:buFont typeface="Arial"/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Firma:</a:t>
          </a:r>
          <a:endParaRPr sz="1600"/>
        </a:p>
      </xdr:txBody>
    </xdr:sp>
    <xdr:clientData/>
  </xdr:twoCellAnchor>
  <xdr:twoCellAnchor>
    <xdr:from>
      <xdr:col>3</xdr:col>
      <xdr:colOff>520700</xdr:colOff>
      <xdr:row>34</xdr:row>
      <xdr:rowOff>128451</xdr:rowOff>
    </xdr:from>
    <xdr:to>
      <xdr:col>7</xdr:col>
      <xdr:colOff>302260</xdr:colOff>
      <xdr:row>34</xdr:row>
      <xdr:rowOff>128451</xdr:rowOff>
    </xdr:to>
    <xdr:cxnSp macro="">
      <xdr:nvCxnSpPr>
        <xdr:cNvPr id="89" name="Shape 60">
          <a:extLst>
            <a:ext uri="{FF2B5EF4-FFF2-40B4-BE49-F238E27FC236}">
              <a16:creationId xmlns:a16="http://schemas.microsoft.com/office/drawing/2014/main" id="{53D0F67A-41B7-46FF-9151-8715EC9AA169}"/>
            </a:ext>
          </a:extLst>
        </xdr:cNvPr>
        <xdr:cNvCxnSpPr/>
      </xdr:nvCxnSpPr>
      <xdr:spPr>
        <a:xfrm>
          <a:off x="3898900" y="21680351"/>
          <a:ext cx="5991860" cy="0"/>
        </a:xfrm>
        <a:prstGeom prst="straightConnector1">
          <a:avLst/>
        </a:prstGeom>
        <a:noFill/>
        <a:ln w="12700" cap="flat" cmpd="sng">
          <a:solidFill>
            <a:schemeClr val="dk1"/>
          </a:solidFill>
          <a:prstDash val="solid"/>
          <a:miter lim="800000"/>
          <a:headEnd type="none" w="sm" len="sm"/>
          <a:tailEnd type="none" w="sm" len="sm"/>
        </a:ln>
      </xdr:spPr>
    </xdr:cxnSp>
    <xdr:clientData/>
  </xdr:twoCellAnchor>
  <xdr:twoCellAnchor editAs="oneCell">
    <xdr:from>
      <xdr:col>5</xdr:col>
      <xdr:colOff>368300</xdr:colOff>
      <xdr:row>35</xdr:row>
      <xdr:rowOff>63500</xdr:rowOff>
    </xdr:from>
    <xdr:to>
      <xdr:col>6</xdr:col>
      <xdr:colOff>2033524</xdr:colOff>
      <xdr:row>44</xdr:row>
      <xdr:rowOff>80182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1463833-0D96-4723-8A28-3A86015F3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70600" y="21780500"/>
          <a:ext cx="2097024" cy="1502582"/>
        </a:xfrm>
        <a:prstGeom prst="rect">
          <a:avLst/>
        </a:prstGeom>
      </xdr:spPr>
    </xdr:pic>
    <xdr:clientData/>
  </xdr:twoCellAnchor>
  <xdr:twoCellAnchor editAs="oneCell">
    <xdr:from>
      <xdr:col>7</xdr:col>
      <xdr:colOff>2578100</xdr:colOff>
      <xdr:row>35</xdr:row>
      <xdr:rowOff>60897</xdr:rowOff>
    </xdr:from>
    <xdr:to>
      <xdr:col>10</xdr:col>
      <xdr:colOff>368300</xdr:colOff>
      <xdr:row>44</xdr:row>
      <xdr:rowOff>22670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6EABF6E1-A22D-47E8-A0CC-1DB491B4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66600" y="21777897"/>
          <a:ext cx="2273300" cy="1447673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48197</xdr:rowOff>
    </xdr:from>
    <xdr:to>
      <xdr:col>17</xdr:col>
      <xdr:colOff>266700</xdr:colOff>
      <xdr:row>44</xdr:row>
      <xdr:rowOff>9970</xdr:rowOff>
    </xdr:to>
    <xdr:pic>
      <xdr:nvPicPr>
        <xdr:cNvPr id="79" name="Imagen 78">
          <a:extLst>
            <a:ext uri="{FF2B5EF4-FFF2-40B4-BE49-F238E27FC236}">
              <a16:creationId xmlns:a16="http://schemas.microsoft.com/office/drawing/2014/main" id="{3F546A7C-9B40-4AE9-8A3D-6B6FB7254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72100" y="21765197"/>
          <a:ext cx="2273300" cy="14476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0</xdr:rowOff>
    </xdr:from>
    <xdr:ext cx="5819775" cy="2038350"/>
    <xdr:pic>
      <xdr:nvPicPr>
        <xdr:cNvPr id="2" name="image8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5905500" cy="3552825"/>
    <xdr:pic>
      <xdr:nvPicPr>
        <xdr:cNvPr id="3" name="image7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1002"/>
  <sheetViews>
    <sheetView showGridLines="0" topLeftCell="L1" zoomScale="60" zoomScaleNormal="60" workbookViewId="0">
      <pane ySplit="10" topLeftCell="A32" activePane="bottomLeft" state="frozen"/>
      <selection pane="bottomLeft" activeCell="G7" sqref="G7:G10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53.6640625" customWidth="1"/>
    <col min="8" max="8" width="39.88671875" customWidth="1"/>
    <col min="9" max="15" width="11.6640625" customWidth="1"/>
    <col min="16" max="17" width="14.6640625" customWidth="1"/>
    <col min="18" max="18" width="69.332031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9"/>
      <c r="D1" s="30"/>
      <c r="E1" s="31"/>
      <c r="F1" s="31"/>
      <c r="G1" s="32"/>
      <c r="H1" s="2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7.5" customHeight="1" x14ac:dyDescent="0.3">
      <c r="A2" s="1"/>
      <c r="B2" s="1"/>
      <c r="C2" s="29"/>
      <c r="D2" s="30"/>
      <c r="E2" s="31"/>
      <c r="F2" s="31"/>
      <c r="G2" s="32"/>
      <c r="H2" s="29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6" ht="12.75" customHeight="1" x14ac:dyDescent="0.4">
      <c r="A3" s="34"/>
      <c r="B3" s="34"/>
      <c r="C3" s="34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6"/>
      <c r="S3" s="36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</row>
    <row r="4" spans="1:36" ht="12.75" customHeight="1" x14ac:dyDescent="0.4">
      <c r="A4" s="34"/>
      <c r="B4" s="34"/>
      <c r="C4" s="34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6"/>
      <c r="S4" s="36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</row>
    <row r="5" spans="1:36" ht="20.399999999999999" customHeight="1" x14ac:dyDescent="0.4">
      <c r="A5" s="34"/>
      <c r="B5" s="34"/>
      <c r="C5" s="34"/>
      <c r="D5" s="34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2"/>
      <c r="S5" s="2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spans="1:36" ht="27" customHeight="1" x14ac:dyDescent="0.3">
      <c r="A6" s="34"/>
      <c r="B6" s="35" t="s">
        <v>246</v>
      </c>
      <c r="C6" s="73"/>
      <c r="D6" s="3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2"/>
      <c r="S6" s="2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</row>
    <row r="7" spans="1:36" ht="17.25" customHeight="1" x14ac:dyDescent="0.3">
      <c r="A7" s="84" t="s">
        <v>0</v>
      </c>
      <c r="B7" s="84" t="s">
        <v>1</v>
      </c>
      <c r="C7" s="84" t="s">
        <v>2</v>
      </c>
      <c r="D7" s="84" t="s">
        <v>3</v>
      </c>
      <c r="E7" s="87" t="s">
        <v>4</v>
      </c>
      <c r="F7" s="88"/>
      <c r="G7" s="84" t="s">
        <v>196</v>
      </c>
      <c r="H7" s="94" t="s">
        <v>5</v>
      </c>
      <c r="I7" s="77" t="s">
        <v>6</v>
      </c>
      <c r="J7" s="78"/>
      <c r="K7" s="78"/>
      <c r="L7" s="78"/>
      <c r="M7" s="78"/>
      <c r="N7" s="78"/>
      <c r="O7" s="78"/>
      <c r="P7" s="78"/>
      <c r="Q7" s="79"/>
      <c r="R7" s="3"/>
      <c r="S7" s="3"/>
      <c r="T7" s="77"/>
      <c r="U7" s="78"/>
      <c r="V7" s="78"/>
      <c r="W7" s="78"/>
      <c r="X7" s="78"/>
      <c r="Y7" s="78"/>
      <c r="Z7" s="78"/>
      <c r="AA7" s="78"/>
      <c r="AB7" s="79"/>
      <c r="AC7" s="3"/>
      <c r="AD7" s="4"/>
      <c r="AE7" s="4"/>
      <c r="AF7" s="4"/>
      <c r="AG7" s="4"/>
      <c r="AH7" s="4"/>
      <c r="AI7" s="4"/>
      <c r="AJ7" s="4"/>
    </row>
    <row r="8" spans="1:36" ht="15" customHeight="1" x14ac:dyDescent="0.3">
      <c r="A8" s="85"/>
      <c r="B8" s="85"/>
      <c r="C8" s="85"/>
      <c r="D8" s="85"/>
      <c r="E8" s="89"/>
      <c r="F8" s="90"/>
      <c r="G8" s="85"/>
      <c r="H8" s="85"/>
      <c r="I8" s="77" t="s">
        <v>6</v>
      </c>
      <c r="J8" s="78"/>
      <c r="K8" s="78"/>
      <c r="L8" s="78"/>
      <c r="M8" s="78"/>
      <c r="N8" s="78"/>
      <c r="O8" s="78"/>
      <c r="P8" s="78"/>
      <c r="Q8" s="79"/>
      <c r="R8" s="5"/>
      <c r="S8" s="5"/>
      <c r="T8" s="77" t="s">
        <v>7</v>
      </c>
      <c r="U8" s="78"/>
      <c r="V8" s="78"/>
      <c r="W8" s="78"/>
      <c r="X8" s="78"/>
      <c r="Y8" s="78"/>
      <c r="Z8" s="78"/>
      <c r="AA8" s="78"/>
      <c r="AB8" s="79"/>
      <c r="AC8" s="5"/>
      <c r="AD8" s="4"/>
      <c r="AE8" s="4"/>
      <c r="AF8" s="4"/>
      <c r="AG8" s="4"/>
      <c r="AH8" s="4"/>
      <c r="AI8" s="4"/>
      <c r="AJ8" s="4"/>
    </row>
    <row r="9" spans="1:36" ht="62.25" customHeight="1" x14ac:dyDescent="0.3">
      <c r="A9" s="85"/>
      <c r="B9" s="85"/>
      <c r="C9" s="85"/>
      <c r="D9" s="85"/>
      <c r="E9" s="91"/>
      <c r="F9" s="92"/>
      <c r="G9" s="85"/>
      <c r="H9" s="85"/>
      <c r="I9" s="80" t="s">
        <v>8</v>
      </c>
      <c r="J9" s="78"/>
      <c r="K9" s="78"/>
      <c r="L9" s="79"/>
      <c r="M9" s="81" t="s">
        <v>9</v>
      </c>
      <c r="N9" s="81" t="s">
        <v>10</v>
      </c>
      <c r="O9" s="81" t="s">
        <v>11</v>
      </c>
      <c r="P9" s="81" t="s">
        <v>12</v>
      </c>
      <c r="Q9" s="81" t="s">
        <v>13</v>
      </c>
      <c r="R9" s="5" t="s">
        <v>14</v>
      </c>
      <c r="S9" s="83" t="s">
        <v>15</v>
      </c>
      <c r="T9" s="80" t="s">
        <v>8</v>
      </c>
      <c r="U9" s="78"/>
      <c r="V9" s="78"/>
      <c r="W9" s="79"/>
      <c r="X9" s="81" t="s">
        <v>9</v>
      </c>
      <c r="Y9" s="81" t="s">
        <v>10</v>
      </c>
      <c r="Z9" s="81" t="s">
        <v>11</v>
      </c>
      <c r="AA9" s="81" t="s">
        <v>12</v>
      </c>
      <c r="AB9" s="81" t="s">
        <v>13</v>
      </c>
      <c r="AC9" s="5" t="s">
        <v>16</v>
      </c>
      <c r="AD9" s="4"/>
      <c r="AE9" s="4"/>
      <c r="AF9" s="4"/>
      <c r="AG9" s="4"/>
      <c r="AH9" s="4"/>
      <c r="AI9" s="4"/>
      <c r="AJ9" s="4"/>
    </row>
    <row r="10" spans="1:36" ht="85.8" customHeight="1" x14ac:dyDescent="0.3">
      <c r="A10" s="82"/>
      <c r="B10" s="86"/>
      <c r="C10" s="82"/>
      <c r="D10" s="82"/>
      <c r="E10" s="6" t="s">
        <v>17</v>
      </c>
      <c r="F10" s="7" t="s">
        <v>18</v>
      </c>
      <c r="G10" s="93"/>
      <c r="H10" s="93"/>
      <c r="I10" s="8" t="s">
        <v>19</v>
      </c>
      <c r="J10" s="8" t="s">
        <v>20</v>
      </c>
      <c r="K10" s="8" t="s">
        <v>21</v>
      </c>
      <c r="L10" s="8" t="s">
        <v>22</v>
      </c>
      <c r="M10" s="82"/>
      <c r="N10" s="82"/>
      <c r="O10" s="82"/>
      <c r="P10" s="82"/>
      <c r="Q10" s="82"/>
      <c r="R10" s="5"/>
      <c r="S10" s="82"/>
      <c r="T10" s="8" t="s">
        <v>19</v>
      </c>
      <c r="U10" s="8" t="s">
        <v>20</v>
      </c>
      <c r="V10" s="8" t="s">
        <v>21</v>
      </c>
      <c r="W10" s="8" t="s">
        <v>22</v>
      </c>
      <c r="X10" s="82"/>
      <c r="Y10" s="82"/>
      <c r="Z10" s="82"/>
      <c r="AA10" s="82"/>
      <c r="AB10" s="82"/>
      <c r="AC10" s="5"/>
      <c r="AD10" s="4"/>
      <c r="AE10" s="4"/>
      <c r="AF10" s="4"/>
      <c r="AG10" s="4"/>
      <c r="AH10" s="4"/>
      <c r="AI10" s="4"/>
      <c r="AJ10" s="4"/>
    </row>
    <row r="11" spans="1:36" ht="36.75" customHeight="1" x14ac:dyDescent="0.3">
      <c r="A11" s="95">
        <v>1</v>
      </c>
      <c r="B11" s="95" t="s">
        <v>23</v>
      </c>
      <c r="C11" s="95" t="s">
        <v>24</v>
      </c>
      <c r="D11" s="95" t="s">
        <v>25</v>
      </c>
      <c r="E11" s="9" t="s">
        <v>26</v>
      </c>
      <c r="F11" s="58"/>
      <c r="G11" s="68" t="s">
        <v>27</v>
      </c>
      <c r="H11" s="68" t="s">
        <v>28</v>
      </c>
      <c r="I11" s="68">
        <v>1</v>
      </c>
      <c r="J11" s="68">
        <v>3</v>
      </c>
      <c r="K11" s="59">
        <v>2</v>
      </c>
      <c r="L11" s="10">
        <v>3</v>
      </c>
      <c r="M11" s="10">
        <f>I11+J11+K11+L11</f>
        <v>9</v>
      </c>
      <c r="N11" s="10">
        <v>1</v>
      </c>
      <c r="O11" s="11">
        <f>M11*N11</f>
        <v>9</v>
      </c>
      <c r="P11" s="12" t="str">
        <f>IF(G11="No","It",IF(O11&lt;=4,"Trivial",IF(O11&lt;=8,"Tolerable",IF(O11&lt;=16,"Moderado",IF(O11&lt;=24,"Importante",IF(O11&lt;=36,"No Aceptable"))))))</f>
        <v>Moderado</v>
      </c>
      <c r="Q11" s="12" t="str">
        <f>IF(P11="Trivial","NO",IF(P11="Tolerable","NO",IF(P11="Moderado","NO",IF(P11="Importante","SÍ",IF(P11="No Aceptable","SÍ")))))</f>
        <v>NO</v>
      </c>
      <c r="R11" s="13" t="s">
        <v>29</v>
      </c>
      <c r="S11" s="22" t="s">
        <v>30</v>
      </c>
      <c r="T11" s="10">
        <v>1</v>
      </c>
      <c r="U11" s="10">
        <v>1</v>
      </c>
      <c r="V11" s="10">
        <v>1</v>
      </c>
      <c r="W11" s="10">
        <v>3</v>
      </c>
      <c r="X11" s="10">
        <f>T11+U11+V11+W11</f>
        <v>6</v>
      </c>
      <c r="Y11" s="10">
        <v>1</v>
      </c>
      <c r="Z11" s="11">
        <f>X11*Y11</f>
        <v>6</v>
      </c>
      <c r="AA11" s="12" t="str">
        <f>IF(R11="No","It",IF(Z11&lt;=4,"Trivial",IF(Z11&lt;=8,"Tolerable",IF(Z11&lt;=16,"Moderado",IF(Z11&lt;=24,"Importante",IF(Z11&lt;=36,"No Aceptable"))))))</f>
        <v>Tolerable</v>
      </c>
      <c r="AB11" s="12" t="str">
        <f>IF(AA11="Trivial","NO",IF(AA11="Tolerable","NO",IF(AA11="Moderado","NO",IF(AA11="Importante","SÍ",IF(AA11="No Aceptable","SÍ")))))</f>
        <v>NO</v>
      </c>
      <c r="AC11" s="13" t="s">
        <v>31</v>
      </c>
      <c r="AD11" s="15"/>
      <c r="AE11" s="15"/>
      <c r="AF11" s="15"/>
      <c r="AG11" s="15"/>
      <c r="AH11" s="15"/>
      <c r="AI11" s="15"/>
      <c r="AJ11" s="15"/>
    </row>
    <row r="12" spans="1:36" ht="38.25" customHeight="1" x14ac:dyDescent="0.3">
      <c r="A12" s="85"/>
      <c r="B12" s="85"/>
      <c r="C12" s="85"/>
      <c r="D12" s="85"/>
      <c r="E12" s="9" t="s">
        <v>26</v>
      </c>
      <c r="F12" s="58"/>
      <c r="G12" s="68" t="s">
        <v>32</v>
      </c>
      <c r="H12" s="68" t="s">
        <v>33</v>
      </c>
      <c r="I12" s="68">
        <v>1</v>
      </c>
      <c r="J12" s="68">
        <v>1</v>
      </c>
      <c r="K12" s="59">
        <v>2</v>
      </c>
      <c r="L12" s="10">
        <v>3</v>
      </c>
      <c r="M12" s="10">
        <v>7</v>
      </c>
      <c r="N12" s="10">
        <v>2</v>
      </c>
      <c r="O12" s="11">
        <v>14</v>
      </c>
      <c r="P12" s="16" t="s">
        <v>34</v>
      </c>
      <c r="Q12" s="12" t="s">
        <v>35</v>
      </c>
      <c r="R12" s="13" t="s">
        <v>36</v>
      </c>
      <c r="S12" s="22" t="s">
        <v>30</v>
      </c>
      <c r="T12" s="10">
        <v>1</v>
      </c>
      <c r="U12" s="10">
        <v>1</v>
      </c>
      <c r="V12" s="10">
        <v>1</v>
      </c>
      <c r="W12" s="10">
        <v>3</v>
      </c>
      <c r="X12" s="10">
        <v>6</v>
      </c>
      <c r="Y12" s="10">
        <v>1</v>
      </c>
      <c r="Z12" s="11">
        <v>6</v>
      </c>
      <c r="AA12" s="17" t="s">
        <v>37</v>
      </c>
      <c r="AB12" s="12" t="s">
        <v>35</v>
      </c>
      <c r="AC12" s="13" t="s">
        <v>38</v>
      </c>
      <c r="AD12" s="15"/>
      <c r="AE12" s="15"/>
      <c r="AF12" s="15"/>
      <c r="AG12" s="15"/>
      <c r="AH12" s="15"/>
      <c r="AI12" s="15"/>
      <c r="AJ12" s="15"/>
    </row>
    <row r="13" spans="1:36" ht="34.5" customHeight="1" x14ac:dyDescent="0.3">
      <c r="A13" s="85"/>
      <c r="B13" s="85"/>
      <c r="C13" s="85"/>
      <c r="D13" s="85"/>
      <c r="E13" s="9" t="s">
        <v>26</v>
      </c>
      <c r="F13" s="58"/>
      <c r="G13" s="68" t="s">
        <v>39</v>
      </c>
      <c r="H13" s="68" t="s">
        <v>40</v>
      </c>
      <c r="I13" s="68">
        <v>1</v>
      </c>
      <c r="J13" s="68">
        <v>2</v>
      </c>
      <c r="K13" s="59">
        <v>2</v>
      </c>
      <c r="L13" s="10">
        <v>3</v>
      </c>
      <c r="M13" s="10">
        <f t="shared" ref="M13:M35" si="0">I13+J13+K13+L13</f>
        <v>8</v>
      </c>
      <c r="N13" s="10">
        <v>2</v>
      </c>
      <c r="O13" s="11">
        <f t="shared" ref="O13:O35" si="1">M13*N13</f>
        <v>16</v>
      </c>
      <c r="P13" s="12" t="str">
        <f t="shared" ref="P13:P35" si="2">IF(G13="No","It",IF(O13&lt;=4,"Trivial",IF(O13&lt;=8,"Tolerable",IF(O13&lt;=16,"Moderado",IF(O13&lt;=24,"Importante",IF(O13&lt;=36,"No Aceptable"))))))</f>
        <v>Moderado</v>
      </c>
      <c r="Q13" s="12" t="str">
        <f t="shared" ref="Q13:Q35" si="3">IF(P13="Trivial","NO",IF(P13="Tolerable","NO",IF(P13="Moderado","NO",IF(P13="Importante","SÍ",IF(P13="No Aceptable","SÍ")))))</f>
        <v>NO</v>
      </c>
      <c r="R13" s="13" t="s">
        <v>41</v>
      </c>
      <c r="S13" s="22" t="s">
        <v>30</v>
      </c>
      <c r="T13" s="10">
        <v>1</v>
      </c>
      <c r="U13" s="10">
        <v>1</v>
      </c>
      <c r="V13" s="10">
        <v>1</v>
      </c>
      <c r="W13" s="10">
        <v>3</v>
      </c>
      <c r="X13" s="10">
        <f>I13+J13+K13+L13</f>
        <v>8</v>
      </c>
      <c r="Y13" s="10">
        <v>1</v>
      </c>
      <c r="Z13" s="11">
        <f t="shared" ref="Z13:Z35" si="4">X13*Y13</f>
        <v>8</v>
      </c>
      <c r="AA13" s="12" t="str">
        <f t="shared" ref="AA13:AA19" si="5">IF(R13="No","It",IF(Z13&lt;=4,"Trivial",IF(Z13&lt;=8,"Tolerable",IF(Z13&lt;=16,"Moderado",IF(Z13&lt;=24,"Importante",IF(Z13&lt;=36,"No Aceptable"))))))</f>
        <v>Tolerable</v>
      </c>
      <c r="AB13" s="12" t="str">
        <f t="shared" ref="AB13:AB19" si="6">IF(AA13="Trivial","NO",IF(AA13="Tolerable","NO",IF(AA13="Moderado","NO",IF(AA13="Importante","SÍ",IF(AA13="No Aceptable","SÍ")))))</f>
        <v>NO</v>
      </c>
      <c r="AC13" s="13" t="s">
        <v>31</v>
      </c>
      <c r="AD13" s="15"/>
      <c r="AE13" s="15"/>
      <c r="AF13" s="15"/>
      <c r="AG13" s="15"/>
      <c r="AH13" s="15"/>
      <c r="AI13" s="15"/>
      <c r="AJ13" s="15"/>
    </row>
    <row r="14" spans="1:36" ht="57.75" customHeight="1" x14ac:dyDescent="0.3">
      <c r="A14" s="85"/>
      <c r="B14" s="85"/>
      <c r="C14" s="85"/>
      <c r="D14" s="85"/>
      <c r="E14" s="9" t="s">
        <v>26</v>
      </c>
      <c r="F14" s="58"/>
      <c r="G14" s="64" t="s">
        <v>42</v>
      </c>
      <c r="H14" s="64" t="s">
        <v>43</v>
      </c>
      <c r="I14" s="68">
        <v>1</v>
      </c>
      <c r="J14" s="68">
        <v>2</v>
      </c>
      <c r="K14" s="59">
        <v>2</v>
      </c>
      <c r="L14" s="10">
        <v>3</v>
      </c>
      <c r="M14" s="10">
        <f t="shared" si="0"/>
        <v>8</v>
      </c>
      <c r="N14" s="10">
        <v>2</v>
      </c>
      <c r="O14" s="11">
        <f t="shared" si="1"/>
        <v>16</v>
      </c>
      <c r="P14" s="12" t="str">
        <f t="shared" si="2"/>
        <v>Moderado</v>
      </c>
      <c r="Q14" s="12" t="str">
        <f t="shared" si="3"/>
        <v>NO</v>
      </c>
      <c r="R14" s="18" t="s">
        <v>44</v>
      </c>
      <c r="S14" s="14" t="s">
        <v>45</v>
      </c>
      <c r="T14" s="10">
        <v>1</v>
      </c>
      <c r="U14" s="19">
        <v>1</v>
      </c>
      <c r="V14" s="10">
        <v>1</v>
      </c>
      <c r="W14" s="10">
        <v>3</v>
      </c>
      <c r="X14" s="10">
        <f>T14+U13+V14+W14</f>
        <v>6</v>
      </c>
      <c r="Y14" s="10">
        <v>1</v>
      </c>
      <c r="Z14" s="11">
        <f t="shared" si="4"/>
        <v>6</v>
      </c>
      <c r="AA14" s="12" t="str">
        <f t="shared" si="5"/>
        <v>Tolerable</v>
      </c>
      <c r="AB14" s="12" t="str">
        <f t="shared" si="6"/>
        <v>NO</v>
      </c>
      <c r="AC14" s="13" t="s">
        <v>46</v>
      </c>
      <c r="AD14" s="15"/>
      <c r="AE14" s="15"/>
      <c r="AF14" s="15"/>
      <c r="AG14" s="15"/>
      <c r="AH14" s="15"/>
      <c r="AI14" s="15"/>
      <c r="AJ14" s="15"/>
    </row>
    <row r="15" spans="1:36" ht="33" customHeight="1" x14ac:dyDescent="0.3">
      <c r="A15" s="85"/>
      <c r="B15" s="85"/>
      <c r="C15" s="85"/>
      <c r="D15" s="85"/>
      <c r="E15" s="9" t="s">
        <v>26</v>
      </c>
      <c r="F15" s="58"/>
      <c r="G15" s="69" t="s">
        <v>47</v>
      </c>
      <c r="H15" s="69" t="s">
        <v>48</v>
      </c>
      <c r="I15" s="68">
        <v>1</v>
      </c>
      <c r="J15" s="68">
        <v>2</v>
      </c>
      <c r="K15" s="59">
        <v>2</v>
      </c>
      <c r="L15" s="10">
        <v>3</v>
      </c>
      <c r="M15" s="10">
        <f t="shared" si="0"/>
        <v>8</v>
      </c>
      <c r="N15" s="10">
        <v>1</v>
      </c>
      <c r="O15" s="11">
        <f t="shared" si="1"/>
        <v>8</v>
      </c>
      <c r="P15" s="12" t="str">
        <f t="shared" si="2"/>
        <v>Tolerable</v>
      </c>
      <c r="Q15" s="12" t="str">
        <f t="shared" si="3"/>
        <v>NO</v>
      </c>
      <c r="R15" s="18" t="s">
        <v>49</v>
      </c>
      <c r="S15" s="22" t="s">
        <v>30</v>
      </c>
      <c r="T15" s="10">
        <v>1</v>
      </c>
      <c r="U15" s="10">
        <v>1</v>
      </c>
      <c r="V15" s="10">
        <v>1</v>
      </c>
      <c r="W15" s="10">
        <v>3</v>
      </c>
      <c r="X15" s="10">
        <f t="shared" ref="X15:X35" si="7">T15+U15+V15+W15</f>
        <v>6</v>
      </c>
      <c r="Y15" s="10">
        <v>1</v>
      </c>
      <c r="Z15" s="11">
        <f t="shared" si="4"/>
        <v>6</v>
      </c>
      <c r="AA15" s="12" t="str">
        <f t="shared" si="5"/>
        <v>Tolerable</v>
      </c>
      <c r="AB15" s="12" t="str">
        <f t="shared" si="6"/>
        <v>NO</v>
      </c>
      <c r="AC15" s="13" t="s">
        <v>31</v>
      </c>
      <c r="AD15" s="15"/>
      <c r="AE15" s="15"/>
      <c r="AF15" s="15"/>
      <c r="AG15" s="15"/>
      <c r="AH15" s="15"/>
      <c r="AI15" s="15"/>
      <c r="AJ15" s="15"/>
    </row>
    <row r="16" spans="1:36" ht="92.25" customHeight="1" x14ac:dyDescent="0.3">
      <c r="A16" s="85"/>
      <c r="B16" s="85"/>
      <c r="C16" s="85"/>
      <c r="D16" s="85"/>
      <c r="E16" s="21" t="s">
        <v>26</v>
      </c>
      <c r="F16" s="65"/>
      <c r="G16" s="70" t="s">
        <v>50</v>
      </c>
      <c r="H16" s="71" t="s">
        <v>51</v>
      </c>
      <c r="I16" s="70">
        <v>1</v>
      </c>
      <c r="J16" s="68">
        <v>2</v>
      </c>
      <c r="K16" s="59">
        <v>2</v>
      </c>
      <c r="L16" s="10">
        <v>3</v>
      </c>
      <c r="M16" s="10">
        <f t="shared" si="0"/>
        <v>8</v>
      </c>
      <c r="N16" s="22">
        <v>1</v>
      </c>
      <c r="O16" s="11">
        <f t="shared" si="1"/>
        <v>8</v>
      </c>
      <c r="P16" s="12" t="str">
        <f t="shared" si="2"/>
        <v>Tolerable</v>
      </c>
      <c r="Q16" s="12" t="str">
        <f t="shared" si="3"/>
        <v>NO</v>
      </c>
      <c r="R16" s="18" t="s">
        <v>52</v>
      </c>
      <c r="S16" s="14" t="s">
        <v>53</v>
      </c>
      <c r="T16" s="22">
        <v>1</v>
      </c>
      <c r="U16" s="10">
        <v>1</v>
      </c>
      <c r="V16" s="10">
        <v>1</v>
      </c>
      <c r="W16" s="10">
        <v>3</v>
      </c>
      <c r="X16" s="10">
        <f t="shared" si="7"/>
        <v>6</v>
      </c>
      <c r="Y16" s="22">
        <v>1</v>
      </c>
      <c r="Z16" s="11">
        <f t="shared" si="4"/>
        <v>6</v>
      </c>
      <c r="AA16" s="12" t="str">
        <f t="shared" si="5"/>
        <v>Tolerable</v>
      </c>
      <c r="AB16" s="12" t="str">
        <f t="shared" si="6"/>
        <v>NO</v>
      </c>
      <c r="AC16" s="13" t="s">
        <v>31</v>
      </c>
      <c r="AD16" s="15"/>
      <c r="AE16" s="15"/>
      <c r="AF16" s="15"/>
      <c r="AG16" s="15"/>
      <c r="AH16" s="15"/>
      <c r="AI16" s="15"/>
      <c r="AJ16" s="15"/>
    </row>
    <row r="17" spans="1:36" ht="29.25" customHeight="1" x14ac:dyDescent="0.3">
      <c r="A17" s="85"/>
      <c r="B17" s="85"/>
      <c r="C17" s="85"/>
      <c r="D17" s="85"/>
      <c r="E17" s="21" t="s">
        <v>26</v>
      </c>
      <c r="F17" s="65"/>
      <c r="G17" s="68" t="s">
        <v>54</v>
      </c>
      <c r="H17" s="69" t="s">
        <v>55</v>
      </c>
      <c r="I17" s="70">
        <v>1</v>
      </c>
      <c r="J17" s="68">
        <v>2</v>
      </c>
      <c r="K17" s="59">
        <v>2</v>
      </c>
      <c r="L17" s="10">
        <v>3</v>
      </c>
      <c r="M17" s="10">
        <f t="shared" si="0"/>
        <v>8</v>
      </c>
      <c r="N17" s="22">
        <v>1</v>
      </c>
      <c r="O17" s="11">
        <f t="shared" si="1"/>
        <v>8</v>
      </c>
      <c r="P17" s="12" t="str">
        <f t="shared" si="2"/>
        <v>Tolerable</v>
      </c>
      <c r="Q17" s="12" t="str">
        <f t="shared" si="3"/>
        <v>NO</v>
      </c>
      <c r="R17" s="13" t="s">
        <v>56</v>
      </c>
      <c r="S17" s="22" t="s">
        <v>30</v>
      </c>
      <c r="T17" s="22">
        <v>1</v>
      </c>
      <c r="U17" s="10">
        <v>1</v>
      </c>
      <c r="V17" s="10">
        <v>1</v>
      </c>
      <c r="W17" s="10">
        <v>3</v>
      </c>
      <c r="X17" s="10">
        <f t="shared" si="7"/>
        <v>6</v>
      </c>
      <c r="Y17" s="22">
        <v>1</v>
      </c>
      <c r="Z17" s="11">
        <f t="shared" si="4"/>
        <v>6</v>
      </c>
      <c r="AA17" s="12" t="str">
        <f t="shared" si="5"/>
        <v>Tolerable</v>
      </c>
      <c r="AB17" s="12" t="str">
        <f t="shared" si="6"/>
        <v>NO</v>
      </c>
      <c r="AC17" s="13" t="s">
        <v>31</v>
      </c>
      <c r="AD17" s="15"/>
      <c r="AE17" s="15"/>
      <c r="AF17" s="15"/>
      <c r="AG17" s="15"/>
      <c r="AH17" s="15"/>
      <c r="AI17" s="15"/>
      <c r="AJ17" s="15"/>
    </row>
    <row r="18" spans="1:36" ht="29.25" customHeight="1" x14ac:dyDescent="0.3">
      <c r="A18" s="85"/>
      <c r="B18" s="86"/>
      <c r="C18" s="86"/>
      <c r="D18" s="86"/>
      <c r="E18" s="10"/>
      <c r="F18" s="65" t="s">
        <v>26</v>
      </c>
      <c r="G18" s="69" t="s">
        <v>57</v>
      </c>
      <c r="H18" s="69" t="s">
        <v>58</v>
      </c>
      <c r="I18" s="70">
        <v>1</v>
      </c>
      <c r="J18" s="70">
        <v>1</v>
      </c>
      <c r="K18" s="66">
        <v>1</v>
      </c>
      <c r="L18" s="22">
        <v>3</v>
      </c>
      <c r="M18" s="10">
        <f t="shared" si="0"/>
        <v>6</v>
      </c>
      <c r="N18" s="22">
        <v>3</v>
      </c>
      <c r="O18" s="11">
        <f t="shared" si="1"/>
        <v>18</v>
      </c>
      <c r="P18" s="12" t="str">
        <f t="shared" si="2"/>
        <v>Importante</v>
      </c>
      <c r="Q18" s="12" t="str">
        <f t="shared" si="3"/>
        <v>SÍ</v>
      </c>
      <c r="R18" s="13" t="s">
        <v>59</v>
      </c>
      <c r="S18" s="14" t="s">
        <v>60</v>
      </c>
      <c r="T18" s="22">
        <v>1</v>
      </c>
      <c r="U18" s="22">
        <v>1</v>
      </c>
      <c r="V18" s="22">
        <v>1</v>
      </c>
      <c r="W18" s="22">
        <v>3</v>
      </c>
      <c r="X18" s="10">
        <f t="shared" si="7"/>
        <v>6</v>
      </c>
      <c r="Y18" s="22">
        <v>2</v>
      </c>
      <c r="Z18" s="11">
        <f t="shared" si="4"/>
        <v>12</v>
      </c>
      <c r="AA18" s="12" t="str">
        <f t="shared" si="5"/>
        <v>Moderado</v>
      </c>
      <c r="AB18" s="12" t="str">
        <f t="shared" si="6"/>
        <v>NO</v>
      </c>
      <c r="AC18" s="18" t="s">
        <v>61</v>
      </c>
      <c r="AD18" s="15"/>
      <c r="AE18" s="15"/>
      <c r="AF18" s="15"/>
      <c r="AG18" s="15"/>
      <c r="AH18" s="15"/>
      <c r="AI18" s="15"/>
      <c r="AJ18" s="15"/>
    </row>
    <row r="19" spans="1:36" ht="36" customHeight="1" x14ac:dyDescent="0.3">
      <c r="A19" s="96">
        <v>2</v>
      </c>
      <c r="B19" s="96" t="s">
        <v>62</v>
      </c>
      <c r="C19" s="96" t="s">
        <v>63</v>
      </c>
      <c r="D19" s="96" t="s">
        <v>64</v>
      </c>
      <c r="E19" s="9" t="s">
        <v>26</v>
      </c>
      <c r="F19" s="58"/>
      <c r="G19" s="68" t="s">
        <v>27</v>
      </c>
      <c r="H19" s="68" t="s">
        <v>28</v>
      </c>
      <c r="I19" s="68">
        <v>1</v>
      </c>
      <c r="J19" s="68">
        <v>1</v>
      </c>
      <c r="K19" s="59">
        <v>2</v>
      </c>
      <c r="L19" s="10">
        <v>3</v>
      </c>
      <c r="M19" s="10">
        <f t="shared" si="0"/>
        <v>7</v>
      </c>
      <c r="N19" s="10">
        <v>1</v>
      </c>
      <c r="O19" s="11">
        <f t="shared" si="1"/>
        <v>7</v>
      </c>
      <c r="P19" s="12" t="str">
        <f t="shared" si="2"/>
        <v>Tolerable</v>
      </c>
      <c r="Q19" s="12" t="str">
        <f t="shared" si="3"/>
        <v>NO</v>
      </c>
      <c r="R19" s="13" t="s">
        <v>29</v>
      </c>
      <c r="S19" s="22" t="s">
        <v>30</v>
      </c>
      <c r="T19" s="10">
        <v>1</v>
      </c>
      <c r="U19" s="10">
        <v>2</v>
      </c>
      <c r="V19" s="10">
        <v>2</v>
      </c>
      <c r="W19" s="10">
        <v>3</v>
      </c>
      <c r="X19" s="10">
        <f t="shared" si="7"/>
        <v>8</v>
      </c>
      <c r="Y19" s="10">
        <v>1</v>
      </c>
      <c r="Z19" s="11">
        <f t="shared" si="4"/>
        <v>8</v>
      </c>
      <c r="AA19" s="12" t="str">
        <f t="shared" si="5"/>
        <v>Tolerable</v>
      </c>
      <c r="AB19" s="12" t="str">
        <f t="shared" si="6"/>
        <v>NO</v>
      </c>
      <c r="AC19" s="13" t="s">
        <v>31</v>
      </c>
      <c r="AD19" s="15"/>
      <c r="AE19" s="15"/>
      <c r="AF19" s="15"/>
      <c r="AG19" s="15"/>
      <c r="AH19" s="15"/>
      <c r="AI19" s="15"/>
      <c r="AJ19" s="15"/>
    </row>
    <row r="20" spans="1:36" ht="32.25" customHeight="1" x14ac:dyDescent="0.3">
      <c r="A20" s="85"/>
      <c r="B20" s="85"/>
      <c r="C20" s="85"/>
      <c r="D20" s="85"/>
      <c r="E20" s="9"/>
      <c r="F20" s="58"/>
      <c r="G20" s="68" t="s">
        <v>65</v>
      </c>
      <c r="H20" s="68" t="s">
        <v>66</v>
      </c>
      <c r="I20" s="68">
        <v>1</v>
      </c>
      <c r="J20" s="68">
        <v>1</v>
      </c>
      <c r="K20" s="59">
        <v>1</v>
      </c>
      <c r="L20" s="10">
        <v>3</v>
      </c>
      <c r="M20" s="10">
        <f t="shared" si="0"/>
        <v>6</v>
      </c>
      <c r="N20" s="10">
        <v>3</v>
      </c>
      <c r="O20" s="11">
        <f t="shared" si="1"/>
        <v>18</v>
      </c>
      <c r="P20" s="12" t="str">
        <f t="shared" si="2"/>
        <v>Importante</v>
      </c>
      <c r="Q20" s="12" t="str">
        <f t="shared" si="3"/>
        <v>SÍ</v>
      </c>
      <c r="R20" s="13" t="s">
        <v>67</v>
      </c>
      <c r="S20" s="22" t="s">
        <v>68</v>
      </c>
      <c r="T20" s="10">
        <v>1</v>
      </c>
      <c r="U20" s="10">
        <v>1</v>
      </c>
      <c r="V20" s="10">
        <v>1</v>
      </c>
      <c r="W20" s="10">
        <v>3</v>
      </c>
      <c r="X20" s="10">
        <f t="shared" si="7"/>
        <v>6</v>
      </c>
      <c r="Y20" s="10">
        <v>2</v>
      </c>
      <c r="Z20" s="11">
        <f t="shared" si="4"/>
        <v>12</v>
      </c>
      <c r="AA20" s="16" t="s">
        <v>34</v>
      </c>
      <c r="AB20" s="12" t="s">
        <v>69</v>
      </c>
      <c r="AC20" s="13" t="s">
        <v>70</v>
      </c>
      <c r="AD20" s="15"/>
      <c r="AE20" s="15"/>
      <c r="AF20" s="15"/>
      <c r="AG20" s="15"/>
      <c r="AH20" s="15"/>
      <c r="AI20" s="15"/>
      <c r="AJ20" s="15"/>
    </row>
    <row r="21" spans="1:36" ht="42" customHeight="1" x14ac:dyDescent="0.3">
      <c r="A21" s="85"/>
      <c r="B21" s="85"/>
      <c r="C21" s="85"/>
      <c r="D21" s="85"/>
      <c r="E21" s="9" t="s">
        <v>26</v>
      </c>
      <c r="F21" s="58"/>
      <c r="G21" s="68" t="s">
        <v>39</v>
      </c>
      <c r="H21" s="68" t="s">
        <v>40</v>
      </c>
      <c r="I21" s="68">
        <v>1</v>
      </c>
      <c r="J21" s="68">
        <v>3</v>
      </c>
      <c r="K21" s="59">
        <v>1</v>
      </c>
      <c r="L21" s="10">
        <v>3</v>
      </c>
      <c r="M21" s="10">
        <f t="shared" si="0"/>
        <v>8</v>
      </c>
      <c r="N21" s="10">
        <v>1</v>
      </c>
      <c r="O21" s="11">
        <f t="shared" si="1"/>
        <v>8</v>
      </c>
      <c r="P21" s="12" t="str">
        <f t="shared" si="2"/>
        <v>Tolerable</v>
      </c>
      <c r="Q21" s="12" t="str">
        <f t="shared" si="3"/>
        <v>NO</v>
      </c>
      <c r="R21" s="13" t="s">
        <v>41</v>
      </c>
      <c r="S21" s="22" t="s">
        <v>30</v>
      </c>
      <c r="T21" s="10">
        <v>1</v>
      </c>
      <c r="U21" s="10">
        <v>1</v>
      </c>
      <c r="V21" s="10">
        <v>1</v>
      </c>
      <c r="W21" s="10">
        <v>3</v>
      </c>
      <c r="X21" s="10">
        <f t="shared" si="7"/>
        <v>6</v>
      </c>
      <c r="Y21" s="10">
        <v>1</v>
      </c>
      <c r="Z21" s="11">
        <f t="shared" si="4"/>
        <v>6</v>
      </c>
      <c r="AA21" s="12" t="str">
        <f t="shared" ref="AA21:AA35" si="8">IF(R21="No","It",IF(Z21&lt;=4,"Trivial",IF(Z21&lt;=8,"Tolerable",IF(Z21&lt;=16,"Moderado",IF(Z21&lt;=24,"Importante",IF(Z21&lt;=36,"No Aceptable"))))))</f>
        <v>Tolerable</v>
      </c>
      <c r="AB21" s="12" t="str">
        <f t="shared" ref="AB21:AB35" si="9">IF(AA21="Trivial","NO",IF(AA21="Tolerable","NO",IF(AA21="Moderado","NO",IF(AA21="Importante","SÍ",IF(AA21="No Aceptable","SÍ")))))</f>
        <v>NO</v>
      </c>
      <c r="AC21" s="13" t="s">
        <v>38</v>
      </c>
      <c r="AD21" s="15"/>
      <c r="AE21" s="15"/>
      <c r="AF21" s="15"/>
      <c r="AG21" s="15"/>
      <c r="AH21" s="15"/>
      <c r="AI21" s="15"/>
      <c r="AJ21" s="15"/>
    </row>
    <row r="22" spans="1:36" ht="67.5" customHeight="1" x14ac:dyDescent="0.3">
      <c r="A22" s="85"/>
      <c r="B22" s="85"/>
      <c r="C22" s="85"/>
      <c r="D22" s="85"/>
      <c r="E22" s="9" t="s">
        <v>26</v>
      </c>
      <c r="F22" s="58"/>
      <c r="G22" s="64" t="s">
        <v>42</v>
      </c>
      <c r="H22" s="64" t="s">
        <v>71</v>
      </c>
      <c r="I22" s="68">
        <v>1</v>
      </c>
      <c r="J22" s="68">
        <v>3</v>
      </c>
      <c r="K22" s="59">
        <v>1</v>
      </c>
      <c r="L22" s="10">
        <v>3</v>
      </c>
      <c r="M22" s="10">
        <f t="shared" si="0"/>
        <v>8</v>
      </c>
      <c r="N22" s="10">
        <v>1</v>
      </c>
      <c r="O22" s="11">
        <f t="shared" si="1"/>
        <v>8</v>
      </c>
      <c r="P22" s="12" t="str">
        <f t="shared" si="2"/>
        <v>Tolerable</v>
      </c>
      <c r="Q22" s="12" t="str">
        <f t="shared" si="3"/>
        <v>NO</v>
      </c>
      <c r="R22" s="18" t="s">
        <v>44</v>
      </c>
      <c r="S22" s="22" t="s">
        <v>30</v>
      </c>
      <c r="T22" s="10">
        <v>1</v>
      </c>
      <c r="U22" s="10">
        <v>1</v>
      </c>
      <c r="V22" s="10">
        <v>1</v>
      </c>
      <c r="W22" s="10">
        <v>3</v>
      </c>
      <c r="X22" s="10">
        <f t="shared" si="7"/>
        <v>6</v>
      </c>
      <c r="Y22" s="10">
        <v>1</v>
      </c>
      <c r="Z22" s="11">
        <f t="shared" si="4"/>
        <v>6</v>
      </c>
      <c r="AA22" s="12" t="str">
        <f t="shared" si="8"/>
        <v>Tolerable</v>
      </c>
      <c r="AB22" s="12" t="str">
        <f t="shared" si="9"/>
        <v>NO</v>
      </c>
      <c r="AC22" s="13" t="s">
        <v>46</v>
      </c>
      <c r="AD22" s="15"/>
      <c r="AE22" s="15"/>
      <c r="AF22" s="15"/>
      <c r="AG22" s="15"/>
      <c r="AH22" s="15"/>
      <c r="AI22" s="15"/>
      <c r="AJ22" s="15"/>
    </row>
    <row r="23" spans="1:36" ht="46.5" customHeight="1" x14ac:dyDescent="0.3">
      <c r="A23" s="85"/>
      <c r="B23" s="85"/>
      <c r="C23" s="85"/>
      <c r="D23" s="85"/>
      <c r="E23" s="9" t="s">
        <v>26</v>
      </c>
      <c r="F23" s="58"/>
      <c r="G23" s="68" t="s">
        <v>32</v>
      </c>
      <c r="H23" s="68" t="s">
        <v>33</v>
      </c>
      <c r="I23" s="68">
        <v>1</v>
      </c>
      <c r="J23" s="68">
        <v>1</v>
      </c>
      <c r="K23" s="59">
        <v>2</v>
      </c>
      <c r="L23" s="10">
        <v>3</v>
      </c>
      <c r="M23" s="10">
        <f t="shared" si="0"/>
        <v>7</v>
      </c>
      <c r="N23" s="10">
        <v>2</v>
      </c>
      <c r="O23" s="11">
        <f t="shared" si="1"/>
        <v>14</v>
      </c>
      <c r="P23" s="12" t="str">
        <f t="shared" si="2"/>
        <v>Moderado</v>
      </c>
      <c r="Q23" s="12" t="str">
        <f t="shared" si="3"/>
        <v>NO</v>
      </c>
      <c r="R23" s="13" t="s">
        <v>36</v>
      </c>
      <c r="S23" s="22" t="s">
        <v>72</v>
      </c>
      <c r="T23" s="10">
        <v>1</v>
      </c>
      <c r="U23" s="10">
        <v>1</v>
      </c>
      <c r="V23" s="10">
        <v>1</v>
      </c>
      <c r="W23" s="10">
        <v>3</v>
      </c>
      <c r="X23" s="10">
        <f t="shared" si="7"/>
        <v>6</v>
      </c>
      <c r="Y23" s="10">
        <v>2</v>
      </c>
      <c r="Z23" s="11">
        <f t="shared" si="4"/>
        <v>12</v>
      </c>
      <c r="AA23" s="12" t="str">
        <f t="shared" si="8"/>
        <v>Moderado</v>
      </c>
      <c r="AB23" s="12" t="str">
        <f t="shared" si="9"/>
        <v>NO</v>
      </c>
      <c r="AC23" s="13" t="s">
        <v>38</v>
      </c>
      <c r="AD23" s="15"/>
      <c r="AE23" s="15"/>
      <c r="AF23" s="15"/>
      <c r="AG23" s="15"/>
      <c r="AH23" s="15"/>
      <c r="AI23" s="15"/>
      <c r="AJ23" s="15"/>
    </row>
    <row r="24" spans="1:36" ht="36" customHeight="1" x14ac:dyDescent="0.3">
      <c r="A24" s="85"/>
      <c r="B24" s="85"/>
      <c r="C24" s="85"/>
      <c r="D24" s="85"/>
      <c r="E24" s="9" t="s">
        <v>26</v>
      </c>
      <c r="F24" s="58"/>
      <c r="G24" s="69" t="s">
        <v>47</v>
      </c>
      <c r="H24" s="69" t="s">
        <v>48</v>
      </c>
      <c r="I24" s="68">
        <v>1</v>
      </c>
      <c r="J24" s="68">
        <v>1</v>
      </c>
      <c r="K24" s="59">
        <v>1</v>
      </c>
      <c r="L24" s="10">
        <v>3</v>
      </c>
      <c r="M24" s="10">
        <f t="shared" si="0"/>
        <v>6</v>
      </c>
      <c r="N24" s="10">
        <v>1</v>
      </c>
      <c r="O24" s="11">
        <f t="shared" si="1"/>
        <v>6</v>
      </c>
      <c r="P24" s="12" t="str">
        <f t="shared" si="2"/>
        <v>Tolerable</v>
      </c>
      <c r="Q24" s="12" t="str">
        <f t="shared" si="3"/>
        <v>NO</v>
      </c>
      <c r="R24" s="18" t="s">
        <v>49</v>
      </c>
      <c r="S24" s="22" t="s">
        <v>30</v>
      </c>
      <c r="T24" s="10">
        <v>1</v>
      </c>
      <c r="U24" s="10">
        <v>1</v>
      </c>
      <c r="V24" s="10">
        <v>1</v>
      </c>
      <c r="W24" s="10">
        <v>3</v>
      </c>
      <c r="X24" s="10">
        <f t="shared" si="7"/>
        <v>6</v>
      </c>
      <c r="Y24" s="10">
        <v>1</v>
      </c>
      <c r="Z24" s="11">
        <f t="shared" si="4"/>
        <v>6</v>
      </c>
      <c r="AA24" s="12" t="str">
        <f t="shared" si="8"/>
        <v>Tolerable</v>
      </c>
      <c r="AB24" s="12" t="str">
        <f t="shared" si="9"/>
        <v>NO</v>
      </c>
      <c r="AC24" s="13" t="s">
        <v>31</v>
      </c>
      <c r="AD24" s="15"/>
      <c r="AE24" s="15"/>
      <c r="AF24" s="15"/>
      <c r="AG24" s="15"/>
      <c r="AH24" s="15"/>
      <c r="AI24" s="15"/>
      <c r="AJ24" s="15"/>
    </row>
    <row r="25" spans="1:36" ht="41.25" customHeight="1" x14ac:dyDescent="0.3">
      <c r="A25" s="85"/>
      <c r="B25" s="85"/>
      <c r="C25" s="85"/>
      <c r="D25" s="85"/>
      <c r="E25" s="9" t="s">
        <v>26</v>
      </c>
      <c r="F25" s="58"/>
      <c r="G25" s="70" t="s">
        <v>50</v>
      </c>
      <c r="H25" s="71" t="s">
        <v>51</v>
      </c>
      <c r="I25" s="70">
        <v>1</v>
      </c>
      <c r="J25" s="68">
        <v>2</v>
      </c>
      <c r="K25" s="59">
        <v>2</v>
      </c>
      <c r="L25" s="10">
        <v>3</v>
      </c>
      <c r="M25" s="10">
        <f t="shared" si="0"/>
        <v>8</v>
      </c>
      <c r="N25" s="22">
        <v>1</v>
      </c>
      <c r="O25" s="11">
        <f t="shared" si="1"/>
        <v>8</v>
      </c>
      <c r="P25" s="12" t="str">
        <f t="shared" si="2"/>
        <v>Tolerable</v>
      </c>
      <c r="Q25" s="12" t="str">
        <f t="shared" si="3"/>
        <v>NO</v>
      </c>
      <c r="R25" s="18" t="s">
        <v>52</v>
      </c>
      <c r="S25" s="14" t="s">
        <v>73</v>
      </c>
      <c r="T25" s="22">
        <v>1</v>
      </c>
      <c r="U25" s="10">
        <v>2</v>
      </c>
      <c r="V25" s="10">
        <v>2</v>
      </c>
      <c r="W25" s="10">
        <v>3</v>
      </c>
      <c r="X25" s="10">
        <f t="shared" si="7"/>
        <v>8</v>
      </c>
      <c r="Y25" s="22">
        <v>1</v>
      </c>
      <c r="Z25" s="11">
        <f t="shared" si="4"/>
        <v>8</v>
      </c>
      <c r="AA25" s="12" t="str">
        <f t="shared" si="8"/>
        <v>Tolerable</v>
      </c>
      <c r="AB25" s="12" t="str">
        <f t="shared" si="9"/>
        <v>NO</v>
      </c>
      <c r="AC25" s="13" t="s">
        <v>31</v>
      </c>
      <c r="AD25" s="15"/>
      <c r="AE25" s="15"/>
      <c r="AF25" s="15"/>
      <c r="AG25" s="15"/>
      <c r="AH25" s="15"/>
      <c r="AI25" s="15"/>
      <c r="AJ25" s="15"/>
    </row>
    <row r="26" spans="1:36" ht="41.25" customHeight="1" x14ac:dyDescent="0.3">
      <c r="A26" s="85"/>
      <c r="B26" s="85"/>
      <c r="C26" s="85"/>
      <c r="D26" s="85"/>
      <c r="E26" s="10"/>
      <c r="F26" s="65" t="s">
        <v>26</v>
      </c>
      <c r="G26" s="69" t="s">
        <v>57</v>
      </c>
      <c r="H26" s="69" t="s">
        <v>58</v>
      </c>
      <c r="I26" s="70">
        <v>1</v>
      </c>
      <c r="J26" s="70">
        <v>1</v>
      </c>
      <c r="K26" s="66">
        <v>1</v>
      </c>
      <c r="L26" s="22">
        <v>3</v>
      </c>
      <c r="M26" s="10">
        <f t="shared" si="0"/>
        <v>6</v>
      </c>
      <c r="N26" s="22">
        <v>3</v>
      </c>
      <c r="O26" s="11">
        <f t="shared" si="1"/>
        <v>18</v>
      </c>
      <c r="P26" s="12" t="str">
        <f t="shared" si="2"/>
        <v>Importante</v>
      </c>
      <c r="Q26" s="12" t="str">
        <f t="shared" si="3"/>
        <v>SÍ</v>
      </c>
      <c r="R26" s="13" t="s">
        <v>59</v>
      </c>
      <c r="S26" s="14" t="s">
        <v>60</v>
      </c>
      <c r="T26" s="22">
        <v>1</v>
      </c>
      <c r="U26" s="22">
        <v>1</v>
      </c>
      <c r="V26" s="22">
        <v>1</v>
      </c>
      <c r="W26" s="22">
        <v>3</v>
      </c>
      <c r="X26" s="10">
        <f t="shared" si="7"/>
        <v>6</v>
      </c>
      <c r="Y26" s="22">
        <v>1</v>
      </c>
      <c r="Z26" s="11">
        <f t="shared" si="4"/>
        <v>6</v>
      </c>
      <c r="AA26" s="12" t="str">
        <f t="shared" si="8"/>
        <v>Tolerable</v>
      </c>
      <c r="AB26" s="12" t="str">
        <f t="shared" si="9"/>
        <v>NO</v>
      </c>
      <c r="AC26" s="18" t="s">
        <v>61</v>
      </c>
      <c r="AD26" s="15"/>
      <c r="AE26" s="15"/>
      <c r="AF26" s="15"/>
      <c r="AG26" s="15"/>
      <c r="AH26" s="15"/>
      <c r="AI26" s="15"/>
      <c r="AJ26" s="15"/>
    </row>
    <row r="27" spans="1:36" ht="40.5" customHeight="1" x14ac:dyDescent="0.3">
      <c r="A27" s="93"/>
      <c r="B27" s="93"/>
      <c r="C27" s="93"/>
      <c r="D27" s="93"/>
      <c r="E27" s="21" t="s">
        <v>26</v>
      </c>
      <c r="F27" s="65"/>
      <c r="G27" s="68" t="s">
        <v>54</v>
      </c>
      <c r="H27" s="69" t="s">
        <v>55</v>
      </c>
      <c r="I27" s="70">
        <v>1</v>
      </c>
      <c r="J27" s="68">
        <v>1</v>
      </c>
      <c r="K27" s="59">
        <v>1</v>
      </c>
      <c r="L27" s="10">
        <v>3</v>
      </c>
      <c r="M27" s="10">
        <f t="shared" si="0"/>
        <v>6</v>
      </c>
      <c r="N27" s="22">
        <v>1</v>
      </c>
      <c r="O27" s="11">
        <f t="shared" si="1"/>
        <v>6</v>
      </c>
      <c r="P27" s="12" t="str">
        <f t="shared" si="2"/>
        <v>Tolerable</v>
      </c>
      <c r="Q27" s="12" t="str">
        <f t="shared" si="3"/>
        <v>NO</v>
      </c>
      <c r="R27" s="18" t="s">
        <v>74</v>
      </c>
      <c r="S27" s="22" t="s">
        <v>30</v>
      </c>
      <c r="T27" s="22">
        <v>1</v>
      </c>
      <c r="U27" s="10">
        <v>1</v>
      </c>
      <c r="V27" s="10">
        <v>1</v>
      </c>
      <c r="W27" s="10">
        <v>3</v>
      </c>
      <c r="X27" s="10">
        <f t="shared" si="7"/>
        <v>6</v>
      </c>
      <c r="Y27" s="22">
        <v>1</v>
      </c>
      <c r="Z27" s="11">
        <f t="shared" si="4"/>
        <v>6</v>
      </c>
      <c r="AA27" s="12" t="str">
        <f t="shared" si="8"/>
        <v>Tolerable</v>
      </c>
      <c r="AB27" s="12" t="str">
        <f t="shared" si="9"/>
        <v>NO</v>
      </c>
      <c r="AC27" s="13" t="s">
        <v>31</v>
      </c>
      <c r="AD27" s="15"/>
      <c r="AE27" s="15"/>
      <c r="AF27" s="15"/>
      <c r="AG27" s="15"/>
      <c r="AH27" s="15"/>
      <c r="AI27" s="15"/>
      <c r="AJ27" s="15"/>
    </row>
    <row r="28" spans="1:36" ht="47.25" customHeight="1" x14ac:dyDescent="0.3">
      <c r="A28" s="75">
        <v>3</v>
      </c>
      <c r="B28" s="76" t="s">
        <v>75</v>
      </c>
      <c r="C28" s="75" t="s">
        <v>76</v>
      </c>
      <c r="D28" s="75" t="s">
        <v>77</v>
      </c>
      <c r="E28" s="25" t="s">
        <v>26</v>
      </c>
      <c r="F28" s="65"/>
      <c r="G28" s="68" t="s">
        <v>27</v>
      </c>
      <c r="H28" s="68" t="s">
        <v>28</v>
      </c>
      <c r="I28" s="68">
        <v>1</v>
      </c>
      <c r="J28" s="68">
        <v>2</v>
      </c>
      <c r="K28" s="59">
        <v>1</v>
      </c>
      <c r="L28" s="10">
        <v>3</v>
      </c>
      <c r="M28" s="10">
        <f t="shared" si="0"/>
        <v>7</v>
      </c>
      <c r="N28" s="22">
        <v>1</v>
      </c>
      <c r="O28" s="11">
        <f t="shared" si="1"/>
        <v>7</v>
      </c>
      <c r="P28" s="12" t="str">
        <f t="shared" si="2"/>
        <v>Tolerable</v>
      </c>
      <c r="Q28" s="12" t="str">
        <f t="shared" si="3"/>
        <v>NO</v>
      </c>
      <c r="R28" s="13" t="s">
        <v>29</v>
      </c>
      <c r="S28" s="22" t="s">
        <v>30</v>
      </c>
      <c r="T28" s="10">
        <v>1</v>
      </c>
      <c r="U28" s="10">
        <v>2</v>
      </c>
      <c r="V28" s="10">
        <v>2</v>
      </c>
      <c r="W28" s="10">
        <v>3</v>
      </c>
      <c r="X28" s="10">
        <f t="shared" si="7"/>
        <v>8</v>
      </c>
      <c r="Y28" s="22">
        <v>1</v>
      </c>
      <c r="Z28" s="11">
        <f t="shared" si="4"/>
        <v>8</v>
      </c>
      <c r="AA28" s="12" t="str">
        <f t="shared" si="8"/>
        <v>Tolerable</v>
      </c>
      <c r="AB28" s="12" t="str">
        <f t="shared" si="9"/>
        <v>NO</v>
      </c>
      <c r="AC28" s="13" t="s">
        <v>31</v>
      </c>
      <c r="AD28" s="15"/>
      <c r="AE28" s="15"/>
      <c r="AF28" s="15"/>
      <c r="AG28" s="15"/>
      <c r="AH28" s="15"/>
      <c r="AI28" s="15"/>
      <c r="AJ28" s="15"/>
    </row>
    <row r="29" spans="1:36" ht="36" customHeight="1" x14ac:dyDescent="0.3">
      <c r="A29" s="75"/>
      <c r="B29" s="76"/>
      <c r="C29" s="75"/>
      <c r="D29" s="75"/>
      <c r="E29" s="25" t="s">
        <v>26</v>
      </c>
      <c r="F29" s="65"/>
      <c r="G29" s="68" t="s">
        <v>39</v>
      </c>
      <c r="H29" s="68" t="s">
        <v>40</v>
      </c>
      <c r="I29" s="68">
        <v>1</v>
      </c>
      <c r="J29" s="68">
        <v>2</v>
      </c>
      <c r="K29" s="59">
        <v>2</v>
      </c>
      <c r="L29" s="10">
        <v>3</v>
      </c>
      <c r="M29" s="10">
        <f t="shared" si="0"/>
        <v>8</v>
      </c>
      <c r="N29" s="22">
        <v>1</v>
      </c>
      <c r="O29" s="11">
        <f t="shared" si="1"/>
        <v>8</v>
      </c>
      <c r="P29" s="12" t="str">
        <f t="shared" si="2"/>
        <v>Tolerable</v>
      </c>
      <c r="Q29" s="12" t="str">
        <f t="shared" si="3"/>
        <v>NO</v>
      </c>
      <c r="R29" s="13" t="s">
        <v>41</v>
      </c>
      <c r="S29" s="22" t="s">
        <v>30</v>
      </c>
      <c r="T29" s="10">
        <v>1</v>
      </c>
      <c r="U29" s="10">
        <v>2</v>
      </c>
      <c r="V29" s="10">
        <v>2</v>
      </c>
      <c r="W29" s="10">
        <v>3</v>
      </c>
      <c r="X29" s="10">
        <f t="shared" si="7"/>
        <v>8</v>
      </c>
      <c r="Y29" s="22">
        <v>1</v>
      </c>
      <c r="Z29" s="11">
        <f t="shared" si="4"/>
        <v>8</v>
      </c>
      <c r="AA29" s="12" t="str">
        <f t="shared" si="8"/>
        <v>Tolerable</v>
      </c>
      <c r="AB29" s="12" t="str">
        <f t="shared" si="9"/>
        <v>NO</v>
      </c>
      <c r="AC29" s="13" t="s">
        <v>31</v>
      </c>
      <c r="AD29" s="15"/>
      <c r="AE29" s="15"/>
      <c r="AF29" s="15"/>
      <c r="AG29" s="15"/>
      <c r="AH29" s="15"/>
      <c r="AI29" s="15"/>
      <c r="AJ29" s="15"/>
    </row>
    <row r="30" spans="1:36" ht="30" customHeight="1" x14ac:dyDescent="0.3">
      <c r="A30" s="75"/>
      <c r="B30" s="76"/>
      <c r="C30" s="75"/>
      <c r="D30" s="75"/>
      <c r="E30" s="26" t="s">
        <v>26</v>
      </c>
      <c r="F30" s="58"/>
      <c r="G30" s="68" t="s">
        <v>32</v>
      </c>
      <c r="H30" s="68" t="s">
        <v>33</v>
      </c>
      <c r="I30" s="68">
        <v>1</v>
      </c>
      <c r="J30" s="68">
        <v>1</v>
      </c>
      <c r="K30" s="59">
        <v>1</v>
      </c>
      <c r="L30" s="10">
        <v>3</v>
      </c>
      <c r="M30" s="10">
        <f t="shared" si="0"/>
        <v>6</v>
      </c>
      <c r="N30" s="10">
        <v>2</v>
      </c>
      <c r="O30" s="11">
        <f t="shared" si="1"/>
        <v>12</v>
      </c>
      <c r="P30" s="12" t="str">
        <f t="shared" si="2"/>
        <v>Moderado</v>
      </c>
      <c r="Q30" s="12" t="str">
        <f t="shared" si="3"/>
        <v>NO</v>
      </c>
      <c r="R30" s="13" t="s">
        <v>36</v>
      </c>
      <c r="S30" s="22" t="s">
        <v>72</v>
      </c>
      <c r="T30" s="10">
        <v>1</v>
      </c>
      <c r="U30" s="10">
        <v>1</v>
      </c>
      <c r="V30" s="10">
        <v>1</v>
      </c>
      <c r="W30" s="10">
        <v>3</v>
      </c>
      <c r="X30" s="10">
        <f t="shared" si="7"/>
        <v>6</v>
      </c>
      <c r="Y30" s="10">
        <v>2</v>
      </c>
      <c r="Z30" s="11">
        <f t="shared" si="4"/>
        <v>12</v>
      </c>
      <c r="AA30" s="12" t="str">
        <f t="shared" si="8"/>
        <v>Moderado</v>
      </c>
      <c r="AB30" s="12" t="str">
        <f t="shared" si="9"/>
        <v>NO</v>
      </c>
      <c r="AC30" s="13" t="s">
        <v>38</v>
      </c>
      <c r="AD30" s="15"/>
      <c r="AE30" s="15"/>
      <c r="AF30" s="15"/>
      <c r="AG30" s="15"/>
      <c r="AH30" s="15"/>
      <c r="AI30" s="15"/>
      <c r="AJ30" s="15"/>
    </row>
    <row r="31" spans="1:36" ht="77.400000000000006" customHeight="1" x14ac:dyDescent="0.3">
      <c r="A31" s="75"/>
      <c r="B31" s="76"/>
      <c r="C31" s="75"/>
      <c r="D31" s="75"/>
      <c r="E31" s="25" t="s">
        <v>26</v>
      </c>
      <c r="F31" s="65"/>
      <c r="G31" s="64" t="s">
        <v>42</v>
      </c>
      <c r="H31" s="64" t="s">
        <v>43</v>
      </c>
      <c r="I31" s="68">
        <v>1</v>
      </c>
      <c r="J31" s="68">
        <v>2</v>
      </c>
      <c r="K31" s="59">
        <v>2</v>
      </c>
      <c r="L31" s="10">
        <v>3</v>
      </c>
      <c r="M31" s="10">
        <f t="shared" si="0"/>
        <v>8</v>
      </c>
      <c r="N31" s="22">
        <v>1</v>
      </c>
      <c r="O31" s="11">
        <f t="shared" si="1"/>
        <v>8</v>
      </c>
      <c r="P31" s="12" t="str">
        <f t="shared" si="2"/>
        <v>Tolerable</v>
      </c>
      <c r="Q31" s="12" t="str">
        <f t="shared" si="3"/>
        <v>NO</v>
      </c>
      <c r="R31" s="23" t="s">
        <v>78</v>
      </c>
      <c r="S31" s="22" t="s">
        <v>30</v>
      </c>
      <c r="T31" s="10">
        <v>1</v>
      </c>
      <c r="U31" s="10">
        <v>2</v>
      </c>
      <c r="V31" s="10">
        <v>2</v>
      </c>
      <c r="W31" s="10">
        <v>3</v>
      </c>
      <c r="X31" s="10">
        <f t="shared" si="7"/>
        <v>8</v>
      </c>
      <c r="Y31" s="22">
        <v>1</v>
      </c>
      <c r="Z31" s="11">
        <f t="shared" si="4"/>
        <v>8</v>
      </c>
      <c r="AA31" s="12" t="str">
        <f t="shared" si="8"/>
        <v>Tolerable</v>
      </c>
      <c r="AB31" s="12" t="str">
        <f t="shared" si="9"/>
        <v>NO</v>
      </c>
      <c r="AC31" s="13" t="s">
        <v>46</v>
      </c>
      <c r="AD31" s="15"/>
      <c r="AE31" s="15"/>
      <c r="AF31" s="15"/>
      <c r="AG31" s="15"/>
      <c r="AH31" s="15"/>
      <c r="AI31" s="15"/>
      <c r="AJ31" s="15"/>
    </row>
    <row r="32" spans="1:36" ht="79.5" customHeight="1" x14ac:dyDescent="0.3">
      <c r="A32" s="75"/>
      <c r="B32" s="76"/>
      <c r="C32" s="75"/>
      <c r="D32" s="75"/>
      <c r="E32" s="25" t="s">
        <v>26</v>
      </c>
      <c r="F32" s="65"/>
      <c r="G32" s="70" t="s">
        <v>79</v>
      </c>
      <c r="H32" s="71" t="s">
        <v>51</v>
      </c>
      <c r="I32" s="70">
        <v>1</v>
      </c>
      <c r="J32" s="68">
        <v>2</v>
      </c>
      <c r="K32" s="59">
        <v>2</v>
      </c>
      <c r="L32" s="10">
        <v>3</v>
      </c>
      <c r="M32" s="10">
        <f t="shared" si="0"/>
        <v>8</v>
      </c>
      <c r="N32" s="22">
        <v>1</v>
      </c>
      <c r="O32" s="11">
        <f t="shared" si="1"/>
        <v>8</v>
      </c>
      <c r="P32" s="12" t="str">
        <f t="shared" si="2"/>
        <v>Tolerable</v>
      </c>
      <c r="Q32" s="12" t="str">
        <f t="shared" si="3"/>
        <v>NO</v>
      </c>
      <c r="R32" s="18" t="s">
        <v>52</v>
      </c>
      <c r="S32" s="14" t="s">
        <v>73</v>
      </c>
      <c r="T32" s="22">
        <v>1</v>
      </c>
      <c r="U32" s="10">
        <v>2</v>
      </c>
      <c r="V32" s="10">
        <v>2</v>
      </c>
      <c r="W32" s="10">
        <v>3</v>
      </c>
      <c r="X32" s="10">
        <f t="shared" si="7"/>
        <v>8</v>
      </c>
      <c r="Y32" s="22">
        <v>1</v>
      </c>
      <c r="Z32" s="11">
        <f t="shared" si="4"/>
        <v>8</v>
      </c>
      <c r="AA32" s="12" t="str">
        <f t="shared" si="8"/>
        <v>Tolerable</v>
      </c>
      <c r="AB32" s="12" t="str">
        <f t="shared" si="9"/>
        <v>NO</v>
      </c>
      <c r="AC32" s="13" t="s">
        <v>31</v>
      </c>
      <c r="AD32" s="15"/>
      <c r="AE32" s="15"/>
      <c r="AF32" s="15"/>
      <c r="AG32" s="15"/>
      <c r="AH32" s="15"/>
      <c r="AI32" s="15"/>
      <c r="AJ32" s="15"/>
    </row>
    <row r="33" spans="1:36" ht="79.5" customHeight="1" x14ac:dyDescent="0.3">
      <c r="A33" s="75"/>
      <c r="B33" s="76"/>
      <c r="C33" s="75"/>
      <c r="D33" s="75"/>
      <c r="E33" s="25" t="s">
        <v>26</v>
      </c>
      <c r="F33" s="65"/>
      <c r="G33" s="72" t="s">
        <v>145</v>
      </c>
      <c r="H33" s="69" t="s">
        <v>146</v>
      </c>
      <c r="I33" s="70">
        <v>3</v>
      </c>
      <c r="J33" s="70">
        <v>1</v>
      </c>
      <c r="K33" s="66">
        <v>2</v>
      </c>
      <c r="L33" s="22">
        <v>2</v>
      </c>
      <c r="M33" s="10">
        <f t="shared" si="0"/>
        <v>8</v>
      </c>
      <c r="N33" s="22">
        <v>3</v>
      </c>
      <c r="O33" s="11">
        <f t="shared" si="1"/>
        <v>24</v>
      </c>
      <c r="P33" s="12" t="str">
        <f t="shared" si="2"/>
        <v>Importante</v>
      </c>
      <c r="Q33" s="12" t="str">
        <f t="shared" si="3"/>
        <v>SÍ</v>
      </c>
      <c r="R33" s="13" t="s">
        <v>147</v>
      </c>
      <c r="S33" s="14" t="s">
        <v>148</v>
      </c>
      <c r="T33" s="22">
        <v>3</v>
      </c>
      <c r="U33" s="22">
        <v>1</v>
      </c>
      <c r="V33" s="22">
        <v>1</v>
      </c>
      <c r="W33" s="22">
        <v>3</v>
      </c>
      <c r="X33" s="10">
        <f t="shared" si="7"/>
        <v>8</v>
      </c>
      <c r="Y33" s="22">
        <v>3</v>
      </c>
      <c r="Z33" s="11">
        <f t="shared" si="4"/>
        <v>24</v>
      </c>
      <c r="AA33" s="12" t="str">
        <f t="shared" si="8"/>
        <v>Importante</v>
      </c>
      <c r="AB33" s="12" t="str">
        <f t="shared" si="9"/>
        <v>SÍ</v>
      </c>
      <c r="AC33" s="13" t="s">
        <v>149</v>
      </c>
      <c r="AD33" s="15"/>
      <c r="AE33" s="15"/>
      <c r="AF33" s="15"/>
      <c r="AG33" s="15"/>
      <c r="AH33" s="15"/>
      <c r="AI33" s="15"/>
      <c r="AJ33" s="15"/>
    </row>
    <row r="34" spans="1:36" ht="76.5" customHeight="1" x14ac:dyDescent="0.3">
      <c r="A34" s="75"/>
      <c r="B34" s="76"/>
      <c r="C34" s="75"/>
      <c r="D34" s="75"/>
      <c r="E34" s="59"/>
      <c r="F34" s="65" t="s">
        <v>26</v>
      </c>
      <c r="G34" s="69" t="s">
        <v>57</v>
      </c>
      <c r="H34" s="69" t="s">
        <v>58</v>
      </c>
      <c r="I34" s="70">
        <v>1</v>
      </c>
      <c r="J34" s="70">
        <v>1</v>
      </c>
      <c r="K34" s="66">
        <v>1</v>
      </c>
      <c r="L34" s="22">
        <v>3</v>
      </c>
      <c r="M34" s="10">
        <f t="shared" si="0"/>
        <v>6</v>
      </c>
      <c r="N34" s="22">
        <v>3</v>
      </c>
      <c r="O34" s="11">
        <f t="shared" si="1"/>
        <v>18</v>
      </c>
      <c r="P34" s="12" t="str">
        <f t="shared" si="2"/>
        <v>Importante</v>
      </c>
      <c r="Q34" s="12" t="str">
        <f t="shared" si="3"/>
        <v>SÍ</v>
      </c>
      <c r="R34" s="13" t="s">
        <v>59</v>
      </c>
      <c r="S34" s="14" t="s">
        <v>60</v>
      </c>
      <c r="T34" s="22">
        <v>1</v>
      </c>
      <c r="U34" s="22">
        <v>1</v>
      </c>
      <c r="V34" s="22">
        <v>1</v>
      </c>
      <c r="W34" s="22">
        <v>3</v>
      </c>
      <c r="X34" s="10">
        <f t="shared" si="7"/>
        <v>6</v>
      </c>
      <c r="Y34" s="22">
        <v>2</v>
      </c>
      <c r="Z34" s="11">
        <f t="shared" si="4"/>
        <v>12</v>
      </c>
      <c r="AA34" s="12" t="str">
        <f t="shared" si="8"/>
        <v>Moderado</v>
      </c>
      <c r="AB34" s="12" t="str">
        <f t="shared" si="9"/>
        <v>NO</v>
      </c>
      <c r="AC34" s="18" t="s">
        <v>61</v>
      </c>
      <c r="AD34" s="15"/>
      <c r="AE34" s="15"/>
      <c r="AF34" s="15"/>
      <c r="AG34" s="15"/>
      <c r="AH34" s="15"/>
      <c r="AI34" s="15"/>
      <c r="AJ34" s="15"/>
    </row>
    <row r="35" spans="1:36" ht="33.6" customHeight="1" x14ac:dyDescent="0.3">
      <c r="A35" s="75"/>
      <c r="B35" s="76"/>
      <c r="C35" s="75"/>
      <c r="D35" s="75"/>
      <c r="E35" s="25" t="s">
        <v>26</v>
      </c>
      <c r="F35" s="21"/>
      <c r="G35" s="61" t="s">
        <v>54</v>
      </c>
      <c r="H35" s="67" t="s">
        <v>55</v>
      </c>
      <c r="I35" s="61">
        <v>1</v>
      </c>
      <c r="J35" s="61">
        <v>1</v>
      </c>
      <c r="K35" s="10">
        <v>1</v>
      </c>
      <c r="L35" s="10">
        <v>3</v>
      </c>
      <c r="M35" s="10">
        <f t="shared" si="0"/>
        <v>6</v>
      </c>
      <c r="N35" s="22">
        <v>1</v>
      </c>
      <c r="O35" s="11">
        <f t="shared" si="1"/>
        <v>6</v>
      </c>
      <c r="P35" s="12" t="str">
        <f t="shared" si="2"/>
        <v>Tolerable</v>
      </c>
      <c r="Q35" s="12" t="str">
        <f t="shared" si="3"/>
        <v>NO</v>
      </c>
      <c r="R35" s="13" t="s">
        <v>80</v>
      </c>
      <c r="S35" s="22" t="s">
        <v>30</v>
      </c>
      <c r="T35" s="10">
        <v>1</v>
      </c>
      <c r="U35" s="10">
        <v>1</v>
      </c>
      <c r="V35" s="10">
        <v>1</v>
      </c>
      <c r="W35" s="10">
        <v>3</v>
      </c>
      <c r="X35" s="10">
        <f t="shared" si="7"/>
        <v>6</v>
      </c>
      <c r="Y35" s="22">
        <v>1</v>
      </c>
      <c r="Z35" s="11">
        <f t="shared" si="4"/>
        <v>6</v>
      </c>
      <c r="AA35" s="12" t="str">
        <f t="shared" si="8"/>
        <v>Tolerable</v>
      </c>
      <c r="AB35" s="12" t="str">
        <f t="shared" si="9"/>
        <v>NO</v>
      </c>
      <c r="AC35" s="13" t="s">
        <v>31</v>
      </c>
      <c r="AD35" s="33"/>
      <c r="AE35" s="33"/>
      <c r="AF35" s="33"/>
      <c r="AG35" s="33"/>
      <c r="AH35" s="33"/>
      <c r="AI35" s="33"/>
      <c r="AJ35" s="33"/>
    </row>
    <row r="36" spans="1:36" ht="12.75" customHeight="1" x14ac:dyDescent="0.3">
      <c r="A36" s="1"/>
      <c r="B36" s="1"/>
      <c r="C36" s="29"/>
      <c r="D36" s="30"/>
      <c r="E36" s="40"/>
      <c r="F36" s="40"/>
      <c r="G36" s="32"/>
      <c r="H36" s="29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spans="1:36" ht="12.75" customHeight="1" x14ac:dyDescent="0.3">
      <c r="A37" s="1"/>
      <c r="B37" s="1"/>
      <c r="C37" s="29"/>
      <c r="D37" s="30"/>
      <c r="E37" s="40"/>
      <c r="F37" s="40"/>
      <c r="G37" s="32"/>
      <c r="H37" s="29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spans="1:36" ht="12.75" customHeight="1" x14ac:dyDescent="0.3">
      <c r="A38" s="1"/>
      <c r="B38" s="1"/>
      <c r="C38" s="29"/>
      <c r="D38" s="30"/>
      <c r="E38" s="40"/>
      <c r="F38" s="40"/>
      <c r="G38" s="32"/>
      <c r="H38" s="29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1:36" ht="12.75" customHeight="1" x14ac:dyDescent="0.3">
      <c r="A39" s="1"/>
      <c r="B39" s="1"/>
      <c r="C39" s="29"/>
      <c r="D39" s="30"/>
      <c r="E39" s="40"/>
      <c r="F39" s="40"/>
      <c r="G39" s="32"/>
      <c r="H39" s="29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spans="1:36" ht="12.75" customHeight="1" x14ac:dyDescent="0.3">
      <c r="A40" s="1"/>
      <c r="B40" s="1"/>
      <c r="C40" s="29"/>
      <c r="D40" s="30"/>
      <c r="E40" s="40"/>
      <c r="F40" s="40"/>
      <c r="G40" s="32"/>
      <c r="H40" s="29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spans="1:36" ht="12.75" customHeight="1" x14ac:dyDescent="0.3">
      <c r="A41" s="1"/>
      <c r="B41" s="1"/>
      <c r="C41" s="29"/>
      <c r="D41" s="30"/>
      <c r="E41" s="40"/>
      <c r="F41" s="40"/>
      <c r="G41" s="32"/>
      <c r="H41" s="29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spans="1:36" ht="12.75" customHeight="1" x14ac:dyDescent="0.3">
      <c r="A42" s="1"/>
      <c r="B42" s="1"/>
      <c r="C42" s="29"/>
      <c r="D42" s="30"/>
      <c r="E42" s="40"/>
      <c r="F42" s="40"/>
      <c r="G42" s="32"/>
      <c r="H42" s="29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spans="1:36" ht="12.75" customHeight="1" x14ac:dyDescent="0.3">
      <c r="A43" s="1"/>
      <c r="B43" s="1"/>
      <c r="C43" s="29"/>
      <c r="D43" s="30"/>
      <c r="E43" s="40"/>
      <c r="F43" s="40"/>
      <c r="G43" s="32"/>
      <c r="H43" s="29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spans="1:36" ht="12.75" customHeight="1" x14ac:dyDescent="0.3">
      <c r="A44" s="1"/>
      <c r="B44" s="1"/>
      <c r="C44" s="29"/>
      <c r="D44" s="30"/>
      <c r="E44" s="40"/>
      <c r="F44" s="40"/>
      <c r="G44" s="32"/>
      <c r="H44" s="29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spans="1:36" ht="12.75" customHeight="1" x14ac:dyDescent="0.3">
      <c r="A45" s="1"/>
      <c r="B45" s="1"/>
      <c r="C45" s="29"/>
      <c r="D45" s="30"/>
      <c r="E45" s="40"/>
      <c r="F45" s="40"/>
      <c r="G45" s="32"/>
      <c r="H45" s="29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spans="1:36" ht="12.75" customHeight="1" x14ac:dyDescent="0.3">
      <c r="A46" s="1"/>
      <c r="B46" s="1"/>
      <c r="C46" s="29"/>
      <c r="D46" s="30"/>
      <c r="E46" s="40"/>
      <c r="F46" s="40"/>
      <c r="G46" s="32"/>
      <c r="H46" s="29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spans="1:36" ht="12.75" customHeight="1" x14ac:dyDescent="0.3">
      <c r="A47" s="1"/>
      <c r="B47" s="1"/>
      <c r="C47" s="29"/>
      <c r="D47" s="30"/>
      <c r="E47" s="40"/>
      <c r="F47" s="40"/>
      <c r="G47" s="32"/>
      <c r="H47" s="29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spans="1:36" ht="12.75" customHeight="1" x14ac:dyDescent="0.3">
      <c r="A48" s="1"/>
      <c r="B48" s="1"/>
      <c r="C48" s="29"/>
      <c r="D48" s="30"/>
      <c r="E48" s="40"/>
      <c r="F48" s="40"/>
      <c r="G48" s="32"/>
      <c r="H48" s="29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spans="1:36" ht="12.75" customHeight="1" x14ac:dyDescent="0.3">
      <c r="A49" s="1"/>
      <c r="B49" s="1"/>
      <c r="C49" s="29"/>
      <c r="D49" s="30"/>
      <c r="E49" s="40"/>
      <c r="F49" s="40"/>
      <c r="G49" s="32"/>
      <c r="H49" s="29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spans="1:36" ht="12.75" customHeight="1" x14ac:dyDescent="0.3">
      <c r="A50" s="1"/>
      <c r="B50" s="1"/>
      <c r="C50" s="29"/>
      <c r="D50" s="30"/>
      <c r="E50" s="40"/>
      <c r="F50" s="40"/>
      <c r="G50" s="32"/>
      <c r="H50" s="2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spans="1:36" ht="12.75" customHeight="1" x14ac:dyDescent="0.3">
      <c r="A51" s="1"/>
      <c r="B51" s="1"/>
      <c r="C51" s="29"/>
      <c r="D51" s="30"/>
      <c r="E51" s="40"/>
      <c r="F51" s="40"/>
      <c r="G51" s="32"/>
      <c r="H51" s="29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spans="1:36" ht="12.75" customHeight="1" x14ac:dyDescent="0.3">
      <c r="A52" s="1"/>
      <c r="B52" s="1"/>
      <c r="C52" s="29"/>
      <c r="D52" s="30"/>
      <c r="E52" s="40"/>
      <c r="F52" s="40"/>
      <c r="G52" s="32"/>
      <c r="H52" s="2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spans="1:36" ht="12.75" customHeight="1" x14ac:dyDescent="0.3">
      <c r="A53" s="1"/>
      <c r="B53" s="1"/>
      <c r="C53" s="29"/>
      <c r="D53" s="30"/>
      <c r="E53" s="40"/>
      <c r="F53" s="40"/>
      <c r="G53" s="32"/>
      <c r="H53" s="29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spans="1:36" ht="12.75" customHeight="1" x14ac:dyDescent="0.3">
      <c r="A54" s="1"/>
      <c r="B54" s="1"/>
      <c r="C54" s="29"/>
      <c r="D54" s="30"/>
      <c r="E54" s="40"/>
      <c r="F54" s="40"/>
      <c r="G54" s="32"/>
      <c r="H54" s="29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spans="1:36" ht="12.75" customHeight="1" x14ac:dyDescent="0.3">
      <c r="A55" s="1"/>
      <c r="B55" s="1"/>
      <c r="C55" s="29"/>
      <c r="D55" s="30"/>
      <c r="E55" s="40"/>
      <c r="F55" s="40"/>
      <c r="G55" s="32"/>
      <c r="H55" s="29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36" ht="12.75" customHeight="1" x14ac:dyDescent="0.3">
      <c r="A56" s="1"/>
      <c r="B56" s="1"/>
      <c r="C56" s="29"/>
      <c r="D56" s="30"/>
      <c r="E56" s="40"/>
      <c r="F56" s="40"/>
      <c r="G56" s="32"/>
      <c r="H56" s="2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spans="1:36" ht="12.75" customHeight="1" x14ac:dyDescent="0.3">
      <c r="A57" s="1"/>
      <c r="B57" s="1"/>
      <c r="C57" s="29"/>
      <c r="D57" s="30"/>
      <c r="E57" s="40"/>
      <c r="F57" s="40"/>
      <c r="G57" s="32"/>
      <c r="H57" s="29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spans="1:36" ht="12.75" customHeight="1" x14ac:dyDescent="0.3">
      <c r="A58" s="1"/>
      <c r="B58" s="1"/>
      <c r="C58" s="29"/>
      <c r="D58" s="30"/>
      <c r="E58" s="40"/>
      <c r="F58" s="40"/>
      <c r="G58" s="32"/>
      <c r="H58" s="29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spans="1:36" ht="12.75" customHeight="1" x14ac:dyDescent="0.3">
      <c r="A59" s="1"/>
      <c r="B59" s="1"/>
      <c r="C59" s="29"/>
      <c r="D59" s="30"/>
      <c r="E59" s="40"/>
      <c r="F59" s="40"/>
      <c r="G59" s="32"/>
      <c r="H59" s="29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spans="1:36" ht="12.75" customHeight="1" x14ac:dyDescent="0.3">
      <c r="A60" s="1"/>
      <c r="B60" s="1"/>
      <c r="C60" s="29"/>
      <c r="D60" s="30"/>
      <c r="E60" s="40"/>
      <c r="F60" s="40"/>
      <c r="G60" s="32"/>
      <c r="H60" s="29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spans="1:36" ht="12.75" customHeight="1" x14ac:dyDescent="0.3">
      <c r="A61" s="1"/>
      <c r="B61" s="1"/>
      <c r="C61" s="29"/>
      <c r="D61" s="30"/>
      <c r="E61" s="40"/>
      <c r="F61" s="40"/>
      <c r="G61" s="32"/>
      <c r="H61" s="29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spans="1:36" ht="12.75" customHeight="1" x14ac:dyDescent="0.3">
      <c r="A62" s="1"/>
      <c r="B62" s="1"/>
      <c r="C62" s="29"/>
      <c r="D62" s="41"/>
      <c r="E62" s="40"/>
      <c r="F62" s="40"/>
      <c r="G62" s="32"/>
      <c r="H62" s="29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 spans="1:36" ht="12.75" customHeight="1" x14ac:dyDescent="0.3">
      <c r="A63" s="1"/>
      <c r="B63" s="1"/>
      <c r="C63" s="29"/>
      <c r="D63" s="30"/>
      <c r="E63" s="40"/>
      <c r="F63" s="40"/>
      <c r="G63" s="32"/>
      <c r="H63" s="29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12.75" customHeight="1" x14ac:dyDescent="0.3">
      <c r="A64" s="1"/>
      <c r="B64" s="1"/>
      <c r="C64" s="29"/>
      <c r="D64" s="30"/>
      <c r="E64" s="40"/>
      <c r="F64" s="40"/>
      <c r="G64" s="32"/>
      <c r="H64" s="29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spans="1:36" ht="12.75" customHeight="1" x14ac:dyDescent="0.3">
      <c r="A65" s="1"/>
      <c r="B65" s="1"/>
      <c r="C65" s="29"/>
      <c r="D65" s="30"/>
      <c r="E65" s="40"/>
      <c r="F65" s="40"/>
      <c r="G65" s="32"/>
      <c r="H65" s="29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spans="1:36" ht="12.75" customHeight="1" x14ac:dyDescent="0.3">
      <c r="A66" s="1"/>
      <c r="B66" s="1"/>
      <c r="C66" s="29"/>
      <c r="D66" s="30"/>
      <c r="E66" s="40"/>
      <c r="F66" s="40"/>
      <c r="G66" s="32"/>
      <c r="H66" s="29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 spans="1:36" ht="12.75" customHeight="1" x14ac:dyDescent="0.3">
      <c r="A67" s="1"/>
      <c r="B67" s="1"/>
      <c r="C67" s="29"/>
      <c r="D67" s="30"/>
      <c r="E67" s="40"/>
      <c r="F67" s="40"/>
      <c r="G67" s="32"/>
      <c r="H67" s="29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spans="1:36" ht="12.75" customHeight="1" x14ac:dyDescent="0.3">
      <c r="A68" s="1"/>
      <c r="B68" s="1"/>
      <c r="C68" s="29"/>
      <c r="D68" s="30"/>
      <c r="E68" s="40"/>
      <c r="F68" s="40"/>
      <c r="G68" s="32"/>
      <c r="H68" s="29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spans="1:36" ht="12.75" customHeight="1" x14ac:dyDescent="0.3">
      <c r="A69" s="1"/>
      <c r="B69" s="1"/>
      <c r="C69" s="29"/>
      <c r="D69" s="30"/>
      <c r="E69" s="40"/>
      <c r="F69" s="40"/>
      <c r="G69" s="32"/>
      <c r="H69" s="29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spans="1:36" ht="12.75" customHeight="1" x14ac:dyDescent="0.3">
      <c r="A70" s="1"/>
      <c r="B70" s="1"/>
      <c r="C70" s="29"/>
      <c r="D70" s="30"/>
      <c r="E70" s="40"/>
      <c r="F70" s="40"/>
      <c r="G70" s="32"/>
      <c r="H70" s="29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1:36" ht="12.75" customHeight="1" x14ac:dyDescent="0.3">
      <c r="A71" s="1"/>
      <c r="B71" s="1"/>
      <c r="C71" s="29"/>
      <c r="D71" s="30"/>
      <c r="E71" s="40"/>
      <c r="F71" s="40"/>
      <c r="G71" s="32"/>
      <c r="H71" s="29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1:36" ht="12.75" customHeight="1" x14ac:dyDescent="0.3">
      <c r="A72" s="1"/>
      <c r="B72" s="1"/>
      <c r="C72" s="29"/>
      <c r="D72" s="30"/>
      <c r="E72" s="40"/>
      <c r="F72" s="40"/>
      <c r="G72" s="32"/>
      <c r="H72" s="29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spans="1:36" ht="12.75" customHeight="1" x14ac:dyDescent="0.3">
      <c r="A73" s="1"/>
      <c r="B73" s="1"/>
      <c r="C73" s="29"/>
      <c r="D73" s="30"/>
      <c r="E73" s="40"/>
      <c r="F73" s="40"/>
      <c r="G73" s="32"/>
      <c r="H73" s="29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 spans="1:36" ht="12.75" customHeight="1" x14ac:dyDescent="0.3">
      <c r="A74" s="1"/>
      <c r="B74" s="1"/>
      <c r="C74" s="29"/>
      <c r="D74" s="30"/>
      <c r="E74" s="40"/>
      <c r="F74" s="40"/>
      <c r="G74" s="32"/>
      <c r="H74" s="29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 spans="1:36" ht="12.75" customHeight="1" x14ac:dyDescent="0.3">
      <c r="A75" s="1"/>
      <c r="B75" s="1"/>
      <c r="C75" s="29"/>
      <c r="D75" s="30"/>
      <c r="E75" s="40"/>
      <c r="F75" s="40"/>
      <c r="G75" s="32"/>
      <c r="H75" s="29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</row>
    <row r="76" spans="1:36" ht="12.75" customHeight="1" x14ac:dyDescent="0.3">
      <c r="A76" s="1"/>
      <c r="B76" s="1"/>
      <c r="C76" s="29"/>
      <c r="D76" s="30"/>
      <c r="E76" s="40"/>
      <c r="F76" s="40"/>
      <c r="G76" s="32"/>
      <c r="H76" s="29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</row>
    <row r="77" spans="1:36" ht="12.75" customHeight="1" x14ac:dyDescent="0.3">
      <c r="A77" s="1"/>
      <c r="B77" s="1"/>
      <c r="C77" s="29"/>
      <c r="D77" s="30"/>
      <c r="E77" s="40"/>
      <c r="F77" s="40"/>
      <c r="G77" s="32"/>
      <c r="H77" s="29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 spans="1:36" ht="12.75" customHeight="1" x14ac:dyDescent="0.3">
      <c r="A78" s="1"/>
      <c r="B78" s="1"/>
      <c r="C78" s="29"/>
      <c r="D78" s="30"/>
      <c r="E78" s="40"/>
      <c r="F78" s="40"/>
      <c r="G78" s="32"/>
      <c r="H78" s="29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</row>
    <row r="79" spans="1:36" ht="12.75" customHeight="1" x14ac:dyDescent="0.3">
      <c r="A79" s="1"/>
      <c r="B79" s="1"/>
      <c r="C79" s="29"/>
      <c r="D79" s="30"/>
      <c r="E79" s="40"/>
      <c r="F79" s="40"/>
      <c r="G79" s="32"/>
      <c r="H79" s="29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</row>
    <row r="80" spans="1:36" ht="12.75" customHeight="1" x14ac:dyDescent="0.3">
      <c r="A80" s="1"/>
      <c r="B80" s="1"/>
      <c r="C80" s="29"/>
      <c r="D80" s="30"/>
      <c r="E80" s="40"/>
      <c r="F80" s="40"/>
      <c r="G80" s="32"/>
      <c r="H80" s="29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spans="1:36" ht="12.75" customHeight="1" x14ac:dyDescent="0.3">
      <c r="A81" s="1"/>
      <c r="B81" s="1"/>
      <c r="C81" s="29"/>
      <c r="D81" s="30"/>
      <c r="E81" s="40"/>
      <c r="F81" s="40"/>
      <c r="G81" s="32"/>
      <c r="H81" s="29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 spans="1:36" ht="12.75" customHeight="1" x14ac:dyDescent="0.3">
      <c r="A82" s="1"/>
      <c r="B82" s="1"/>
      <c r="C82" s="29"/>
      <c r="D82" s="30"/>
      <c r="E82" s="40"/>
      <c r="F82" s="40"/>
      <c r="G82" s="32"/>
      <c r="H82" s="29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spans="1:36" ht="12.75" customHeight="1" x14ac:dyDescent="0.3">
      <c r="A83" s="1"/>
      <c r="B83" s="1"/>
      <c r="C83" s="29"/>
      <c r="D83" s="30"/>
      <c r="E83" s="40"/>
      <c r="F83" s="40"/>
      <c r="G83" s="32"/>
      <c r="H83" s="29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</row>
    <row r="84" spans="1:36" ht="12.75" customHeight="1" x14ac:dyDescent="0.3">
      <c r="A84" s="1"/>
      <c r="B84" s="1"/>
      <c r="C84" s="29"/>
      <c r="D84" s="30"/>
      <c r="E84" s="40"/>
      <c r="F84" s="40"/>
      <c r="G84" s="32"/>
      <c r="H84" s="29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</row>
    <row r="85" spans="1:36" ht="12.75" customHeight="1" x14ac:dyDescent="0.3">
      <c r="A85" s="1"/>
      <c r="B85" s="1"/>
      <c r="C85" s="29"/>
      <c r="D85" s="30"/>
      <c r="E85" s="40"/>
      <c r="F85" s="40"/>
      <c r="G85" s="32"/>
      <c r="H85" s="29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spans="1:36" ht="12.75" customHeight="1" x14ac:dyDescent="0.3">
      <c r="A86" s="1"/>
      <c r="B86" s="1"/>
      <c r="C86" s="29"/>
      <c r="D86" s="30"/>
      <c r="E86" s="40"/>
      <c r="F86" s="40"/>
      <c r="G86" s="32"/>
      <c r="H86" s="29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 spans="1:36" ht="12.75" customHeight="1" x14ac:dyDescent="0.3">
      <c r="A87" s="1"/>
      <c r="B87" s="1"/>
      <c r="C87" s="29"/>
      <c r="D87" s="30"/>
      <c r="E87" s="40"/>
      <c r="F87" s="40"/>
      <c r="G87" s="32"/>
      <c r="H87" s="29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spans="1:36" ht="12.75" customHeight="1" x14ac:dyDescent="0.3">
      <c r="A88" s="1"/>
      <c r="B88" s="1"/>
      <c r="C88" s="29"/>
      <c r="D88" s="30"/>
      <c r="E88" s="40"/>
      <c r="F88" s="40"/>
      <c r="G88" s="32"/>
      <c r="H88" s="29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 spans="1:36" ht="12.75" customHeight="1" x14ac:dyDescent="0.3">
      <c r="A89" s="1"/>
      <c r="B89" s="1"/>
      <c r="C89" s="29"/>
      <c r="D89" s="30"/>
      <c r="E89" s="40"/>
      <c r="F89" s="40"/>
      <c r="G89" s="32"/>
      <c r="H89" s="29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</row>
    <row r="90" spans="1:36" ht="12.75" customHeight="1" x14ac:dyDescent="0.3">
      <c r="A90" s="1"/>
      <c r="B90" s="1"/>
      <c r="C90" s="29"/>
      <c r="D90" s="30"/>
      <c r="E90" s="40"/>
      <c r="F90" s="40"/>
      <c r="G90" s="32"/>
      <c r="H90" s="29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</row>
    <row r="91" spans="1:36" ht="12.75" customHeight="1" x14ac:dyDescent="0.3">
      <c r="A91" s="1"/>
      <c r="B91" s="1"/>
      <c r="C91" s="29"/>
      <c r="D91" s="30"/>
      <c r="E91" s="40"/>
      <c r="F91" s="40"/>
      <c r="G91" s="32"/>
      <c r="H91" s="29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spans="1:36" ht="12.75" customHeight="1" x14ac:dyDescent="0.3">
      <c r="A92" s="1"/>
      <c r="B92" s="1"/>
      <c r="C92" s="29"/>
      <c r="D92" s="30"/>
      <c r="E92" s="40"/>
      <c r="F92" s="40"/>
      <c r="G92" s="32"/>
      <c r="H92" s="29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spans="1:36" ht="12.75" customHeight="1" x14ac:dyDescent="0.3">
      <c r="A93" s="1"/>
      <c r="B93" s="1"/>
      <c r="C93" s="29"/>
      <c r="D93" s="30"/>
      <c r="E93" s="40"/>
      <c r="F93" s="40"/>
      <c r="G93" s="32"/>
      <c r="H93" s="29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 spans="1:36" ht="12.75" customHeight="1" x14ac:dyDescent="0.3">
      <c r="A94" s="1"/>
      <c r="B94" s="1"/>
      <c r="C94" s="29"/>
      <c r="D94" s="30"/>
      <c r="E94" s="40"/>
      <c r="F94" s="40"/>
      <c r="G94" s="32"/>
      <c r="H94" s="29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ht="12.75" customHeight="1" x14ac:dyDescent="0.3">
      <c r="A95" s="1"/>
      <c r="B95" s="1"/>
      <c r="C95" s="29"/>
      <c r="D95" s="30"/>
      <c r="E95" s="40"/>
      <c r="F95" s="40"/>
      <c r="G95" s="32"/>
      <c r="H95" s="29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ht="12.75" customHeight="1" x14ac:dyDescent="0.3">
      <c r="A96" s="1"/>
      <c r="B96" s="1"/>
      <c r="C96" s="29"/>
      <c r="D96" s="30"/>
      <c r="E96" s="40"/>
      <c r="F96" s="40"/>
      <c r="G96" s="32"/>
      <c r="H96" s="29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ht="12.75" customHeight="1" x14ac:dyDescent="0.3">
      <c r="A97" s="1"/>
      <c r="B97" s="1"/>
      <c r="C97" s="29"/>
      <c r="D97" s="30"/>
      <c r="E97" s="40"/>
      <c r="F97" s="40"/>
      <c r="G97" s="32"/>
      <c r="H97" s="29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spans="1:36" ht="12.75" customHeight="1" x14ac:dyDescent="0.3">
      <c r="A98" s="1"/>
      <c r="B98" s="1"/>
      <c r="C98" s="29"/>
      <c r="D98" s="30"/>
      <c r="E98" s="40"/>
      <c r="F98" s="40"/>
      <c r="G98" s="32"/>
      <c r="H98" s="29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spans="1:36" ht="12.75" customHeight="1" x14ac:dyDescent="0.3">
      <c r="A99" s="1"/>
      <c r="B99" s="1"/>
      <c r="C99" s="29"/>
      <c r="D99" s="30"/>
      <c r="E99" s="40"/>
      <c r="F99" s="40"/>
      <c r="G99" s="32"/>
      <c r="H99" s="29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 spans="1:36" ht="12.75" customHeight="1" x14ac:dyDescent="0.3">
      <c r="A100" s="1"/>
      <c r="B100" s="1"/>
      <c r="C100" s="29"/>
      <c r="D100" s="30"/>
      <c r="E100" s="40"/>
      <c r="F100" s="40"/>
      <c r="G100" s="32"/>
      <c r="H100" s="29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 spans="1:36" ht="12.75" customHeight="1" x14ac:dyDescent="0.3">
      <c r="A101" s="1"/>
      <c r="B101" s="1"/>
      <c r="C101" s="29"/>
      <c r="D101" s="30"/>
      <c r="E101" s="40"/>
      <c r="F101" s="40"/>
      <c r="G101" s="32"/>
      <c r="H101" s="29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 spans="1:36" ht="12.75" customHeight="1" x14ac:dyDescent="0.3">
      <c r="A102" s="1"/>
      <c r="B102" s="1"/>
      <c r="C102" s="29"/>
      <c r="D102" s="30"/>
      <c r="E102" s="40"/>
      <c r="F102" s="40"/>
      <c r="G102" s="32"/>
      <c r="H102" s="29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 spans="1:36" ht="12.75" customHeight="1" x14ac:dyDescent="0.3">
      <c r="A103" s="1"/>
      <c r="B103" s="1"/>
      <c r="C103" s="29"/>
      <c r="D103" s="30"/>
      <c r="E103" s="40"/>
      <c r="F103" s="40"/>
      <c r="G103" s="32"/>
      <c r="H103" s="29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 spans="1:36" ht="12.75" customHeight="1" x14ac:dyDescent="0.3">
      <c r="A104" s="1"/>
      <c r="B104" s="1"/>
      <c r="C104" s="29"/>
      <c r="D104" s="30"/>
      <c r="E104" s="40"/>
      <c r="F104" s="40"/>
      <c r="G104" s="32"/>
      <c r="H104" s="29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 spans="1:36" ht="12.75" customHeight="1" x14ac:dyDescent="0.3">
      <c r="A105" s="1"/>
      <c r="B105" s="1"/>
      <c r="C105" s="29"/>
      <c r="D105" s="30"/>
      <c r="E105" s="40"/>
      <c r="F105" s="40"/>
      <c r="G105" s="32"/>
      <c r="H105" s="29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 spans="1:36" ht="12.75" customHeight="1" x14ac:dyDescent="0.3">
      <c r="A106" s="1"/>
      <c r="B106" s="1"/>
      <c r="C106" s="29"/>
      <c r="D106" s="30"/>
      <c r="E106" s="40"/>
      <c r="F106" s="40"/>
      <c r="G106" s="32"/>
      <c r="H106" s="29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spans="1:36" ht="12.75" customHeight="1" x14ac:dyDescent="0.3">
      <c r="A107" s="1"/>
      <c r="B107" s="1"/>
      <c r="C107" s="29"/>
      <c r="D107" s="30"/>
      <c r="E107" s="40"/>
      <c r="F107" s="40"/>
      <c r="G107" s="32"/>
      <c r="H107" s="29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spans="1:36" ht="12.75" customHeight="1" x14ac:dyDescent="0.3">
      <c r="A108" s="1"/>
      <c r="B108" s="1"/>
      <c r="C108" s="29"/>
      <c r="D108" s="30"/>
      <c r="E108" s="40"/>
      <c r="F108" s="40"/>
      <c r="G108" s="32"/>
      <c r="H108" s="29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spans="1:36" ht="12.75" customHeight="1" x14ac:dyDescent="0.3">
      <c r="A109" s="1"/>
      <c r="B109" s="1"/>
      <c r="C109" s="29"/>
      <c r="D109" s="30"/>
      <c r="E109" s="40"/>
      <c r="F109" s="40"/>
      <c r="G109" s="32"/>
      <c r="H109" s="29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spans="1:36" ht="12.75" customHeight="1" x14ac:dyDescent="0.3">
      <c r="A110" s="1"/>
      <c r="B110" s="1"/>
      <c r="C110" s="29"/>
      <c r="D110" s="30"/>
      <c r="E110" s="40"/>
      <c r="F110" s="40"/>
      <c r="G110" s="32"/>
      <c r="H110" s="29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spans="1:36" ht="12.75" customHeight="1" x14ac:dyDescent="0.3">
      <c r="A111" s="1"/>
      <c r="B111" s="1"/>
      <c r="C111" s="29"/>
      <c r="D111" s="30"/>
      <c r="E111" s="40"/>
      <c r="F111" s="40"/>
      <c r="G111" s="32"/>
      <c r="H111" s="29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spans="1:36" ht="12.75" customHeight="1" x14ac:dyDescent="0.3">
      <c r="A112" s="1"/>
      <c r="B112" s="1"/>
      <c r="C112" s="29"/>
      <c r="D112" s="30"/>
      <c r="E112" s="40"/>
      <c r="F112" s="40"/>
      <c r="G112" s="32"/>
      <c r="H112" s="29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spans="1:36" ht="12.75" customHeight="1" x14ac:dyDescent="0.3">
      <c r="A113" s="1"/>
      <c r="B113" s="1"/>
      <c r="C113" s="29"/>
      <c r="D113" s="30"/>
      <c r="E113" s="40"/>
      <c r="F113" s="40"/>
      <c r="G113" s="32"/>
      <c r="H113" s="29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spans="1:36" ht="12.75" customHeight="1" x14ac:dyDescent="0.3">
      <c r="A114" s="1"/>
      <c r="B114" s="1"/>
      <c r="C114" s="29"/>
      <c r="D114" s="30"/>
      <c r="E114" s="40"/>
      <c r="F114" s="40"/>
      <c r="G114" s="32"/>
      <c r="H114" s="29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spans="1:36" ht="12.75" customHeight="1" x14ac:dyDescent="0.3">
      <c r="A115" s="1"/>
      <c r="B115" s="1"/>
      <c r="C115" s="29"/>
      <c r="D115" s="30"/>
      <c r="E115" s="40"/>
      <c r="F115" s="40"/>
      <c r="G115" s="32"/>
      <c r="H115" s="29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spans="1:36" ht="12.75" customHeight="1" x14ac:dyDescent="0.3">
      <c r="A116" s="1"/>
      <c r="B116" s="1"/>
      <c r="C116" s="29"/>
      <c r="D116" s="30"/>
      <c r="E116" s="40"/>
      <c r="F116" s="40"/>
      <c r="G116" s="32"/>
      <c r="H116" s="29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spans="1:36" ht="12.75" customHeight="1" x14ac:dyDescent="0.3">
      <c r="A117" s="1"/>
      <c r="B117" s="1"/>
      <c r="C117" s="29"/>
      <c r="D117" s="30"/>
      <c r="E117" s="40"/>
      <c r="F117" s="40"/>
      <c r="G117" s="32"/>
      <c r="H117" s="29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spans="1:36" ht="12.75" customHeight="1" x14ac:dyDescent="0.3">
      <c r="A118" s="1"/>
      <c r="B118" s="1"/>
      <c r="C118" s="29"/>
      <c r="D118" s="30"/>
      <c r="E118" s="40"/>
      <c r="F118" s="40"/>
      <c r="G118" s="32"/>
      <c r="H118" s="29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spans="1:36" ht="12.75" customHeight="1" x14ac:dyDescent="0.3">
      <c r="A119" s="1"/>
      <c r="B119" s="1"/>
      <c r="C119" s="29"/>
      <c r="D119" s="30"/>
      <c r="E119" s="40"/>
      <c r="F119" s="40"/>
      <c r="G119" s="32"/>
      <c r="H119" s="29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spans="1:36" ht="12.75" customHeight="1" x14ac:dyDescent="0.3">
      <c r="A120" s="1"/>
      <c r="B120" s="1"/>
      <c r="C120" s="29"/>
      <c r="D120" s="30"/>
      <c r="E120" s="40"/>
      <c r="F120" s="40"/>
      <c r="G120" s="32"/>
      <c r="H120" s="29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spans="1:36" ht="12.75" customHeight="1" x14ac:dyDescent="0.3">
      <c r="A121" s="1"/>
      <c r="B121" s="1"/>
      <c r="C121" s="29"/>
      <c r="D121" s="30"/>
      <c r="E121" s="40"/>
      <c r="F121" s="40"/>
      <c r="G121" s="32"/>
      <c r="H121" s="29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spans="1:36" ht="12.75" customHeight="1" x14ac:dyDescent="0.3">
      <c r="A122" s="1"/>
      <c r="B122" s="1"/>
      <c r="C122" s="29"/>
      <c r="D122" s="30"/>
      <c r="E122" s="40"/>
      <c r="F122" s="40"/>
      <c r="G122" s="32"/>
      <c r="H122" s="29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spans="1:36" ht="12.75" customHeight="1" x14ac:dyDescent="0.3">
      <c r="A123" s="1"/>
      <c r="B123" s="1"/>
      <c r="C123" s="29"/>
      <c r="D123" s="30"/>
      <c r="E123" s="40"/>
      <c r="F123" s="40"/>
      <c r="G123" s="32"/>
      <c r="H123" s="29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spans="1:36" ht="12.75" customHeight="1" x14ac:dyDescent="0.3">
      <c r="A124" s="1"/>
      <c r="B124" s="1"/>
      <c r="C124" s="29"/>
      <c r="D124" s="30"/>
      <c r="E124" s="40"/>
      <c r="F124" s="40"/>
      <c r="G124" s="32"/>
      <c r="H124" s="29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spans="1:36" ht="12.75" customHeight="1" x14ac:dyDescent="0.3">
      <c r="A125" s="1"/>
      <c r="B125" s="1"/>
      <c r="C125" s="29"/>
      <c r="D125" s="30"/>
      <c r="E125" s="40"/>
      <c r="F125" s="40"/>
      <c r="G125" s="32"/>
      <c r="H125" s="29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spans="1:36" ht="12.75" customHeight="1" x14ac:dyDescent="0.3">
      <c r="A126" s="1"/>
      <c r="B126" s="1"/>
      <c r="C126" s="29"/>
      <c r="D126" s="30"/>
      <c r="E126" s="40"/>
      <c r="F126" s="40"/>
      <c r="G126" s="32"/>
      <c r="H126" s="29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spans="1:36" ht="12.75" customHeight="1" x14ac:dyDescent="0.3">
      <c r="A127" s="1"/>
      <c r="B127" s="1"/>
      <c r="C127" s="29"/>
      <c r="D127" s="30"/>
      <c r="E127" s="40"/>
      <c r="F127" s="40"/>
      <c r="G127" s="32"/>
      <c r="H127" s="29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spans="1:36" ht="12.75" customHeight="1" x14ac:dyDescent="0.3">
      <c r="A128" s="1"/>
      <c r="B128" s="1"/>
      <c r="C128" s="29"/>
      <c r="D128" s="30"/>
      <c r="E128" s="40"/>
      <c r="F128" s="40"/>
      <c r="G128" s="32"/>
      <c r="H128" s="29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spans="1:36" ht="12.75" customHeight="1" x14ac:dyDescent="0.3">
      <c r="A129" s="1"/>
      <c r="B129" s="1"/>
      <c r="C129" s="29"/>
      <c r="D129" s="30"/>
      <c r="E129" s="40"/>
      <c r="F129" s="40"/>
      <c r="G129" s="32"/>
      <c r="H129" s="29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spans="1:36" ht="12.75" customHeight="1" x14ac:dyDescent="0.3">
      <c r="A130" s="1"/>
      <c r="B130" s="1"/>
      <c r="C130" s="29"/>
      <c r="D130" s="30"/>
      <c r="E130" s="40"/>
      <c r="F130" s="40"/>
      <c r="G130" s="32"/>
      <c r="H130" s="29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spans="1:36" ht="12.75" customHeight="1" x14ac:dyDescent="0.3">
      <c r="A131" s="1"/>
      <c r="B131" s="1"/>
      <c r="C131" s="29"/>
      <c r="D131" s="30"/>
      <c r="E131" s="40"/>
      <c r="F131" s="40"/>
      <c r="G131" s="32"/>
      <c r="H131" s="29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spans="1:36" ht="12.75" customHeight="1" x14ac:dyDescent="0.3">
      <c r="A132" s="1"/>
      <c r="B132" s="1"/>
      <c r="C132" s="29"/>
      <c r="D132" s="30"/>
      <c r="E132" s="40"/>
      <c r="F132" s="40"/>
      <c r="G132" s="32"/>
      <c r="H132" s="29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spans="1:36" ht="12.75" customHeight="1" x14ac:dyDescent="0.3">
      <c r="A133" s="1"/>
      <c r="B133" s="1"/>
      <c r="C133" s="29"/>
      <c r="D133" s="30"/>
      <c r="E133" s="40"/>
      <c r="F133" s="40"/>
      <c r="G133" s="32"/>
      <c r="H133" s="29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spans="1:36" ht="12.75" customHeight="1" x14ac:dyDescent="0.3">
      <c r="A134" s="1"/>
      <c r="B134" s="1"/>
      <c r="C134" s="29"/>
      <c r="D134" s="30"/>
      <c r="E134" s="40"/>
      <c r="F134" s="40"/>
      <c r="G134" s="32"/>
      <c r="H134" s="29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spans="1:36" ht="12.75" customHeight="1" x14ac:dyDescent="0.3">
      <c r="A135" s="1"/>
      <c r="B135" s="1"/>
      <c r="C135" s="29"/>
      <c r="D135" s="30"/>
      <c r="E135" s="40"/>
      <c r="F135" s="40"/>
      <c r="G135" s="32"/>
      <c r="H135" s="29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spans="1:36" ht="12.75" customHeight="1" x14ac:dyDescent="0.3">
      <c r="A136" s="1"/>
      <c r="B136" s="1"/>
      <c r="C136" s="29"/>
      <c r="D136" s="30"/>
      <c r="E136" s="40"/>
      <c r="F136" s="40"/>
      <c r="G136" s="32"/>
      <c r="H136" s="29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spans="1:36" ht="12.75" customHeight="1" x14ac:dyDescent="0.3">
      <c r="A137" s="1"/>
      <c r="B137" s="1"/>
      <c r="C137" s="29"/>
      <c r="D137" s="30"/>
      <c r="E137" s="40"/>
      <c r="F137" s="40"/>
      <c r="G137" s="32"/>
      <c r="H137" s="29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spans="1:36" ht="12.75" customHeight="1" x14ac:dyDescent="0.3">
      <c r="A138" s="1"/>
      <c r="B138" s="1"/>
      <c r="C138" s="29"/>
      <c r="D138" s="30"/>
      <c r="E138" s="40"/>
      <c r="F138" s="40"/>
      <c r="G138" s="32"/>
      <c r="H138" s="29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spans="1:36" ht="12.75" customHeight="1" x14ac:dyDescent="0.3">
      <c r="A139" s="1"/>
      <c r="B139" s="1"/>
      <c r="C139" s="29"/>
      <c r="D139" s="30"/>
      <c r="E139" s="40"/>
      <c r="F139" s="40"/>
      <c r="G139" s="32"/>
      <c r="H139" s="29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spans="1:36" ht="12.75" customHeight="1" x14ac:dyDescent="0.3">
      <c r="A140" s="1"/>
      <c r="B140" s="1"/>
      <c r="C140" s="29"/>
      <c r="D140" s="30"/>
      <c r="E140" s="40"/>
      <c r="F140" s="40"/>
      <c r="G140" s="32"/>
      <c r="H140" s="29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spans="1:36" ht="12.75" customHeight="1" x14ac:dyDescent="0.3">
      <c r="A141" s="1"/>
      <c r="B141" s="1"/>
      <c r="C141" s="29"/>
      <c r="D141" s="30"/>
      <c r="E141" s="40"/>
      <c r="F141" s="40"/>
      <c r="G141" s="32"/>
      <c r="H141" s="29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spans="1:36" ht="12.75" customHeight="1" x14ac:dyDescent="0.3">
      <c r="A142" s="1"/>
      <c r="B142" s="1"/>
      <c r="C142" s="29"/>
      <c r="D142" s="30"/>
      <c r="E142" s="40"/>
      <c r="F142" s="40"/>
      <c r="G142" s="32"/>
      <c r="H142" s="29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spans="1:36" ht="12.75" customHeight="1" x14ac:dyDescent="0.3">
      <c r="A143" s="1"/>
      <c r="B143" s="1"/>
      <c r="C143" s="29"/>
      <c r="D143" s="30"/>
      <c r="E143" s="40"/>
      <c r="F143" s="40"/>
      <c r="G143" s="32"/>
      <c r="H143" s="29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spans="1:36" ht="12.75" customHeight="1" x14ac:dyDescent="0.3">
      <c r="A144" s="1"/>
      <c r="B144" s="1"/>
      <c r="C144" s="29"/>
      <c r="D144" s="30"/>
      <c r="E144" s="40"/>
      <c r="F144" s="40"/>
      <c r="G144" s="32"/>
      <c r="H144" s="29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spans="1:36" ht="12.75" customHeight="1" x14ac:dyDescent="0.3">
      <c r="A145" s="1"/>
      <c r="B145" s="1"/>
      <c r="C145" s="29"/>
      <c r="D145" s="30"/>
      <c r="E145" s="40"/>
      <c r="F145" s="40"/>
      <c r="G145" s="32"/>
      <c r="H145" s="29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spans="1:36" ht="12.75" customHeight="1" x14ac:dyDescent="0.3">
      <c r="A146" s="1"/>
      <c r="B146" s="1"/>
      <c r="C146" s="29"/>
      <c r="D146" s="30"/>
      <c r="E146" s="40"/>
      <c r="F146" s="40"/>
      <c r="G146" s="32"/>
      <c r="H146" s="29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spans="1:36" ht="12.75" customHeight="1" x14ac:dyDescent="0.3">
      <c r="A147" s="1"/>
      <c r="B147" s="1"/>
      <c r="C147" s="29"/>
      <c r="D147" s="30"/>
      <c r="E147" s="40"/>
      <c r="F147" s="40"/>
      <c r="G147" s="32"/>
      <c r="H147" s="29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spans="1:36" ht="12.75" customHeight="1" x14ac:dyDescent="0.3">
      <c r="A148" s="1"/>
      <c r="B148" s="1"/>
      <c r="C148" s="29"/>
      <c r="D148" s="30"/>
      <c r="E148" s="40"/>
      <c r="F148" s="40"/>
      <c r="G148" s="32"/>
      <c r="H148" s="29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spans="1:36" ht="12.75" customHeight="1" x14ac:dyDescent="0.3">
      <c r="A149" s="1"/>
      <c r="B149" s="1"/>
      <c r="C149" s="29"/>
      <c r="D149" s="30"/>
      <c r="E149" s="40"/>
      <c r="F149" s="40"/>
      <c r="G149" s="32"/>
      <c r="H149" s="29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spans="1:36" ht="12.75" customHeight="1" x14ac:dyDescent="0.3">
      <c r="A150" s="1"/>
      <c r="B150" s="1"/>
      <c r="C150" s="29"/>
      <c r="D150" s="30"/>
      <c r="E150" s="40"/>
      <c r="F150" s="40"/>
      <c r="G150" s="32"/>
      <c r="H150" s="29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spans="1:36" ht="12.75" customHeight="1" x14ac:dyDescent="0.3">
      <c r="A151" s="1"/>
      <c r="B151" s="1"/>
      <c r="C151" s="29"/>
      <c r="D151" s="30"/>
      <c r="E151" s="40"/>
      <c r="F151" s="40"/>
      <c r="G151" s="32"/>
      <c r="H151" s="29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spans="1:36" ht="12.75" customHeight="1" x14ac:dyDescent="0.3">
      <c r="A152" s="1"/>
      <c r="B152" s="1"/>
      <c r="C152" s="29"/>
      <c r="D152" s="30"/>
      <c r="E152" s="40"/>
      <c r="F152" s="40"/>
      <c r="G152" s="32"/>
      <c r="H152" s="29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spans="1:36" ht="12.75" customHeight="1" x14ac:dyDescent="0.3">
      <c r="A153" s="1"/>
      <c r="B153" s="1"/>
      <c r="C153" s="29"/>
      <c r="D153" s="30"/>
      <c r="E153" s="40"/>
      <c r="F153" s="40"/>
      <c r="G153" s="32"/>
      <c r="H153" s="29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spans="1:36" ht="12.75" customHeight="1" x14ac:dyDescent="0.3">
      <c r="A154" s="1"/>
      <c r="B154" s="1"/>
      <c r="C154" s="29"/>
      <c r="D154" s="30"/>
      <c r="E154" s="40"/>
      <c r="F154" s="40"/>
      <c r="G154" s="32"/>
      <c r="H154" s="29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spans="1:36" ht="12.75" customHeight="1" x14ac:dyDescent="0.3">
      <c r="A155" s="1"/>
      <c r="B155" s="1"/>
      <c r="C155" s="29"/>
      <c r="D155" s="30"/>
      <c r="E155" s="40"/>
      <c r="F155" s="40"/>
      <c r="G155" s="32"/>
      <c r="H155" s="29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spans="1:36" ht="12.75" customHeight="1" x14ac:dyDescent="0.3">
      <c r="A156" s="1"/>
      <c r="B156" s="1"/>
      <c r="C156" s="29"/>
      <c r="D156" s="30"/>
      <c r="E156" s="40"/>
      <c r="F156" s="40"/>
      <c r="G156" s="32"/>
      <c r="H156" s="29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spans="1:36" ht="12.75" customHeight="1" x14ac:dyDescent="0.3">
      <c r="A157" s="1"/>
      <c r="B157" s="1"/>
      <c r="C157" s="29"/>
      <c r="D157" s="30"/>
      <c r="E157" s="40"/>
      <c r="F157" s="40"/>
      <c r="G157" s="32"/>
      <c r="H157" s="29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spans="1:36" ht="12.75" customHeight="1" x14ac:dyDescent="0.3">
      <c r="A158" s="1"/>
      <c r="B158" s="1"/>
      <c r="C158" s="29"/>
      <c r="D158" s="30"/>
      <c r="E158" s="40"/>
      <c r="F158" s="40"/>
      <c r="G158" s="32"/>
      <c r="H158" s="29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spans="1:36" ht="12.75" customHeight="1" x14ac:dyDescent="0.3">
      <c r="A159" s="1"/>
      <c r="B159" s="1"/>
      <c r="C159" s="29"/>
      <c r="D159" s="30"/>
      <c r="E159" s="40"/>
      <c r="F159" s="40"/>
      <c r="G159" s="32"/>
      <c r="H159" s="29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spans="1:36" ht="12.75" customHeight="1" x14ac:dyDescent="0.3">
      <c r="A160" s="1"/>
      <c r="B160" s="1"/>
      <c r="C160" s="29"/>
      <c r="D160" s="30"/>
      <c r="E160" s="40"/>
      <c r="F160" s="40"/>
      <c r="G160" s="32"/>
      <c r="H160" s="29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spans="1:36" ht="12.75" customHeight="1" x14ac:dyDescent="0.3">
      <c r="A161" s="1"/>
      <c r="B161" s="1"/>
      <c r="C161" s="29"/>
      <c r="D161" s="30"/>
      <c r="E161" s="40"/>
      <c r="F161" s="40"/>
      <c r="G161" s="32"/>
      <c r="H161" s="29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spans="1:36" ht="12.75" customHeight="1" x14ac:dyDescent="0.3">
      <c r="A162" s="1"/>
      <c r="B162" s="1"/>
      <c r="C162" s="29"/>
      <c r="D162" s="30"/>
      <c r="E162" s="40"/>
      <c r="F162" s="40"/>
      <c r="G162" s="32"/>
      <c r="H162" s="29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spans="1:36" ht="12.75" customHeight="1" x14ac:dyDescent="0.3">
      <c r="A163" s="1"/>
      <c r="B163" s="1"/>
      <c r="C163" s="29"/>
      <c r="D163" s="30"/>
      <c r="E163" s="40"/>
      <c r="F163" s="40"/>
      <c r="G163" s="32"/>
      <c r="H163" s="29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spans="1:36" ht="12.75" customHeight="1" x14ac:dyDescent="0.3">
      <c r="A164" s="1"/>
      <c r="B164" s="1"/>
      <c r="C164" s="29"/>
      <c r="D164" s="30"/>
      <c r="E164" s="40"/>
      <c r="F164" s="40"/>
      <c r="G164" s="32"/>
      <c r="H164" s="29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spans="1:36" ht="12.75" customHeight="1" x14ac:dyDescent="0.3">
      <c r="A165" s="1"/>
      <c r="B165" s="1"/>
      <c r="C165" s="29"/>
      <c r="D165" s="30"/>
      <c r="E165" s="40"/>
      <c r="F165" s="40"/>
      <c r="G165" s="32"/>
      <c r="H165" s="29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spans="1:36" ht="12.75" customHeight="1" x14ac:dyDescent="0.3">
      <c r="A166" s="1"/>
      <c r="B166" s="1"/>
      <c r="C166" s="29"/>
      <c r="D166" s="30"/>
      <c r="E166" s="40"/>
      <c r="F166" s="40"/>
      <c r="G166" s="32"/>
      <c r="H166" s="29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spans="1:36" ht="12.75" customHeight="1" x14ac:dyDescent="0.3">
      <c r="A167" s="1"/>
      <c r="B167" s="1"/>
      <c r="C167" s="29"/>
      <c r="D167" s="30"/>
      <c r="E167" s="40"/>
      <c r="F167" s="40"/>
      <c r="G167" s="32"/>
      <c r="H167" s="29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spans="1:36" ht="12.75" customHeight="1" x14ac:dyDescent="0.3">
      <c r="A168" s="1"/>
      <c r="B168" s="1"/>
      <c r="C168" s="29"/>
      <c r="D168" s="30"/>
      <c r="E168" s="40"/>
      <c r="F168" s="40"/>
      <c r="G168" s="32"/>
      <c r="H168" s="29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spans="1:36" ht="12.75" customHeight="1" x14ac:dyDescent="0.3">
      <c r="A169" s="1"/>
      <c r="B169" s="1"/>
      <c r="C169" s="29"/>
      <c r="D169" s="30"/>
      <c r="E169" s="40"/>
      <c r="F169" s="40"/>
      <c r="G169" s="32"/>
      <c r="H169" s="29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spans="1:36" ht="12.75" customHeight="1" x14ac:dyDescent="0.3">
      <c r="A170" s="1"/>
      <c r="B170" s="1"/>
      <c r="C170" s="29"/>
      <c r="D170" s="30"/>
      <c r="E170" s="40"/>
      <c r="F170" s="40"/>
      <c r="G170" s="32"/>
      <c r="H170" s="29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spans="1:36" ht="12.75" customHeight="1" x14ac:dyDescent="0.3">
      <c r="A171" s="1"/>
      <c r="B171" s="1"/>
      <c r="C171" s="29"/>
      <c r="D171" s="30"/>
      <c r="E171" s="40"/>
      <c r="F171" s="40"/>
      <c r="G171" s="32"/>
      <c r="H171" s="29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spans="1:36" ht="12.75" customHeight="1" x14ac:dyDescent="0.3">
      <c r="A172" s="1"/>
      <c r="B172" s="1"/>
      <c r="C172" s="29"/>
      <c r="D172" s="30"/>
      <c r="E172" s="40"/>
      <c r="F172" s="40"/>
      <c r="G172" s="32"/>
      <c r="H172" s="29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spans="1:36" ht="12.75" customHeight="1" x14ac:dyDescent="0.3">
      <c r="A173" s="1"/>
      <c r="B173" s="1"/>
      <c r="C173" s="29"/>
      <c r="D173" s="30"/>
      <c r="E173" s="40"/>
      <c r="F173" s="40"/>
      <c r="G173" s="32"/>
      <c r="H173" s="29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spans="1:36" ht="12.75" customHeight="1" x14ac:dyDescent="0.3">
      <c r="A174" s="1"/>
      <c r="B174" s="1"/>
      <c r="C174" s="29"/>
      <c r="D174" s="30"/>
      <c r="E174" s="40"/>
      <c r="F174" s="40"/>
      <c r="G174" s="32"/>
      <c r="H174" s="29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spans="1:36" ht="12.75" customHeight="1" x14ac:dyDescent="0.3">
      <c r="A175" s="1"/>
      <c r="B175" s="1"/>
      <c r="C175" s="29"/>
      <c r="D175" s="30"/>
      <c r="E175" s="40"/>
      <c r="F175" s="40"/>
      <c r="G175" s="32"/>
      <c r="H175" s="29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spans="1:36" ht="12.75" customHeight="1" x14ac:dyDescent="0.3">
      <c r="A176" s="1"/>
      <c r="B176" s="1"/>
      <c r="C176" s="29"/>
      <c r="D176" s="30"/>
      <c r="E176" s="40"/>
      <c r="F176" s="40"/>
      <c r="G176" s="32"/>
      <c r="H176" s="29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spans="1:36" ht="12.75" customHeight="1" x14ac:dyDescent="0.3">
      <c r="A177" s="1"/>
      <c r="B177" s="1"/>
      <c r="C177" s="29"/>
      <c r="D177" s="30"/>
      <c r="E177" s="40"/>
      <c r="F177" s="40"/>
      <c r="G177" s="32"/>
      <c r="H177" s="29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spans="1:36" ht="12.75" customHeight="1" x14ac:dyDescent="0.3">
      <c r="A178" s="1"/>
      <c r="B178" s="1"/>
      <c r="C178" s="29"/>
      <c r="D178" s="30"/>
      <c r="E178" s="40"/>
      <c r="F178" s="40"/>
      <c r="G178" s="32"/>
      <c r="H178" s="29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spans="1:36" ht="12.75" customHeight="1" x14ac:dyDescent="0.3">
      <c r="A179" s="1"/>
      <c r="B179" s="1"/>
      <c r="C179" s="29"/>
      <c r="D179" s="30"/>
      <c r="E179" s="40"/>
      <c r="F179" s="40"/>
      <c r="G179" s="32"/>
      <c r="H179" s="29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spans="1:36" ht="12.75" customHeight="1" x14ac:dyDescent="0.3">
      <c r="A180" s="1"/>
      <c r="B180" s="1"/>
      <c r="C180" s="29"/>
      <c r="D180" s="30"/>
      <c r="E180" s="40"/>
      <c r="F180" s="40"/>
      <c r="G180" s="32"/>
      <c r="H180" s="29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spans="1:36" ht="12.75" customHeight="1" x14ac:dyDescent="0.3">
      <c r="A181" s="1"/>
      <c r="B181" s="1"/>
      <c r="C181" s="29"/>
      <c r="D181" s="30"/>
      <c r="E181" s="40"/>
      <c r="F181" s="40"/>
      <c r="G181" s="32"/>
      <c r="H181" s="29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spans="1:36" ht="12.75" customHeight="1" x14ac:dyDescent="0.3">
      <c r="A182" s="1"/>
      <c r="B182" s="1"/>
      <c r="C182" s="29"/>
      <c r="D182" s="30"/>
      <c r="E182" s="40"/>
      <c r="F182" s="40"/>
      <c r="G182" s="32"/>
      <c r="H182" s="29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spans="1:36" ht="12.75" customHeight="1" x14ac:dyDescent="0.3">
      <c r="A183" s="1"/>
      <c r="B183" s="1"/>
      <c r="C183" s="29"/>
      <c r="D183" s="30"/>
      <c r="E183" s="40"/>
      <c r="F183" s="40"/>
      <c r="G183" s="32"/>
      <c r="H183" s="29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spans="1:36" ht="12.75" customHeight="1" x14ac:dyDescent="0.3">
      <c r="A184" s="1"/>
      <c r="B184" s="1"/>
      <c r="C184" s="29"/>
      <c r="D184" s="30"/>
      <c r="E184" s="40"/>
      <c r="F184" s="40"/>
      <c r="G184" s="32"/>
      <c r="H184" s="29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spans="1:36" ht="12.75" customHeight="1" x14ac:dyDescent="0.3">
      <c r="A185" s="1"/>
      <c r="B185" s="1"/>
      <c r="C185" s="29"/>
      <c r="D185" s="30"/>
      <c r="E185" s="40"/>
      <c r="F185" s="40"/>
      <c r="G185" s="32"/>
      <c r="H185" s="29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spans="1:36" ht="12.75" customHeight="1" x14ac:dyDescent="0.3">
      <c r="A186" s="1"/>
      <c r="B186" s="1"/>
      <c r="C186" s="29"/>
      <c r="D186" s="30"/>
      <c r="E186" s="40"/>
      <c r="F186" s="40"/>
      <c r="G186" s="32"/>
      <c r="H186" s="29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spans="1:36" ht="12.75" customHeight="1" x14ac:dyDescent="0.3">
      <c r="A187" s="1"/>
      <c r="B187" s="1"/>
      <c r="C187" s="29"/>
      <c r="D187" s="30"/>
      <c r="E187" s="40"/>
      <c r="F187" s="40"/>
      <c r="G187" s="32"/>
      <c r="H187" s="29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spans="1:36" ht="12.75" customHeight="1" x14ac:dyDescent="0.3">
      <c r="A188" s="1"/>
      <c r="B188" s="1"/>
      <c r="C188" s="29"/>
      <c r="D188" s="30"/>
      <c r="E188" s="40"/>
      <c r="F188" s="40"/>
      <c r="G188" s="32"/>
      <c r="H188" s="29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spans="1:36" ht="12.75" customHeight="1" x14ac:dyDescent="0.3">
      <c r="A189" s="1"/>
      <c r="B189" s="1"/>
      <c r="C189" s="29"/>
      <c r="D189" s="30"/>
      <c r="E189" s="40"/>
      <c r="F189" s="40"/>
      <c r="G189" s="32"/>
      <c r="H189" s="29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spans="1:36" ht="12.75" customHeight="1" x14ac:dyDescent="0.3">
      <c r="A190" s="1"/>
      <c r="B190" s="1"/>
      <c r="C190" s="29"/>
      <c r="D190" s="30"/>
      <c r="E190" s="40"/>
      <c r="F190" s="40"/>
      <c r="G190" s="32"/>
      <c r="H190" s="29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spans="1:36" ht="12.75" customHeight="1" x14ac:dyDescent="0.3">
      <c r="A191" s="1"/>
      <c r="B191" s="1"/>
      <c r="C191" s="29"/>
      <c r="D191" s="30"/>
      <c r="E191" s="40"/>
      <c r="F191" s="40"/>
      <c r="G191" s="32"/>
      <c r="H191" s="29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spans="1:36" ht="12.75" customHeight="1" x14ac:dyDescent="0.3">
      <c r="A192" s="1"/>
      <c r="B192" s="1"/>
      <c r="C192" s="29"/>
      <c r="D192" s="30"/>
      <c r="E192" s="40"/>
      <c r="F192" s="40"/>
      <c r="G192" s="32"/>
      <c r="H192" s="29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 spans="1:36" ht="12.75" customHeight="1" x14ac:dyDescent="0.3">
      <c r="A193" s="1"/>
      <c r="B193" s="1"/>
      <c r="C193" s="29"/>
      <c r="D193" s="30"/>
      <c r="E193" s="40"/>
      <c r="F193" s="40"/>
      <c r="G193" s="32"/>
      <c r="H193" s="29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 spans="1:36" ht="12.75" customHeight="1" x14ac:dyDescent="0.3">
      <c r="A194" s="1"/>
      <c r="B194" s="1"/>
      <c r="C194" s="29"/>
      <c r="D194" s="30"/>
      <c r="E194" s="40"/>
      <c r="F194" s="40"/>
      <c r="G194" s="32"/>
      <c r="H194" s="29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 spans="1:36" ht="12.75" customHeight="1" x14ac:dyDescent="0.3">
      <c r="A195" s="1"/>
      <c r="B195" s="1"/>
      <c r="C195" s="29"/>
      <c r="D195" s="30"/>
      <c r="E195" s="40"/>
      <c r="F195" s="40"/>
      <c r="G195" s="32"/>
      <c r="H195" s="29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 spans="1:36" ht="12.75" customHeight="1" x14ac:dyDescent="0.3">
      <c r="A196" s="1"/>
      <c r="B196" s="1"/>
      <c r="C196" s="29"/>
      <c r="D196" s="30"/>
      <c r="E196" s="40"/>
      <c r="F196" s="40"/>
      <c r="G196" s="32"/>
      <c r="H196" s="29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 spans="1:36" ht="12.75" customHeight="1" x14ac:dyDescent="0.3">
      <c r="A197" s="1"/>
      <c r="B197" s="1"/>
      <c r="C197" s="29"/>
      <c r="D197" s="30"/>
      <c r="E197" s="40"/>
      <c r="F197" s="40"/>
      <c r="G197" s="32"/>
      <c r="H197" s="29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 spans="1:36" ht="12.75" customHeight="1" x14ac:dyDescent="0.3">
      <c r="A198" s="1"/>
      <c r="B198" s="1"/>
      <c r="C198" s="29"/>
      <c r="D198" s="30"/>
      <c r="E198" s="40"/>
      <c r="F198" s="40"/>
      <c r="G198" s="32"/>
      <c r="H198" s="29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 spans="1:36" ht="12.75" customHeight="1" x14ac:dyDescent="0.3">
      <c r="A199" s="1"/>
      <c r="B199" s="1"/>
      <c r="C199" s="29"/>
      <c r="D199" s="30"/>
      <c r="E199" s="40"/>
      <c r="F199" s="40"/>
      <c r="G199" s="32"/>
      <c r="H199" s="29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 spans="1:36" ht="12.75" customHeight="1" x14ac:dyDescent="0.3">
      <c r="A200" s="1"/>
      <c r="B200" s="1"/>
      <c r="C200" s="29"/>
      <c r="D200" s="30"/>
      <c r="E200" s="40"/>
      <c r="F200" s="40"/>
      <c r="G200" s="32"/>
      <c r="H200" s="29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 spans="1:36" ht="12.75" customHeight="1" x14ac:dyDescent="0.3">
      <c r="A201" s="1"/>
      <c r="B201" s="1"/>
      <c r="C201" s="29"/>
      <c r="D201" s="30"/>
      <c r="E201" s="40"/>
      <c r="F201" s="40"/>
      <c r="G201" s="32"/>
      <c r="H201" s="29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 spans="1:36" ht="12.75" customHeight="1" x14ac:dyDescent="0.3">
      <c r="A202" s="1"/>
      <c r="B202" s="1"/>
      <c r="C202" s="29"/>
      <c r="D202" s="30"/>
      <c r="E202" s="40"/>
      <c r="F202" s="40"/>
      <c r="G202" s="32"/>
      <c r="H202" s="29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 spans="1:36" ht="12.75" customHeight="1" x14ac:dyDescent="0.3">
      <c r="A203" s="1"/>
      <c r="B203" s="1"/>
      <c r="C203" s="29"/>
      <c r="D203" s="30"/>
      <c r="E203" s="40"/>
      <c r="F203" s="40"/>
      <c r="G203" s="32"/>
      <c r="H203" s="29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 spans="1:36" ht="12.75" customHeight="1" x14ac:dyDescent="0.3">
      <c r="A204" s="1"/>
      <c r="B204" s="1"/>
      <c r="C204" s="29"/>
      <c r="D204" s="30"/>
      <c r="E204" s="40"/>
      <c r="F204" s="40"/>
      <c r="G204" s="32"/>
      <c r="H204" s="29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 spans="1:36" ht="12.75" customHeight="1" x14ac:dyDescent="0.3">
      <c r="A205" s="1"/>
      <c r="B205" s="1"/>
      <c r="C205" s="29"/>
      <c r="D205" s="30"/>
      <c r="E205" s="40"/>
      <c r="F205" s="40"/>
      <c r="G205" s="32"/>
      <c r="H205" s="29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 spans="1:36" ht="12.75" customHeight="1" x14ac:dyDescent="0.3">
      <c r="A206" s="1"/>
      <c r="B206" s="1"/>
      <c r="C206" s="29"/>
      <c r="D206" s="30"/>
      <c r="E206" s="40"/>
      <c r="F206" s="40"/>
      <c r="G206" s="32"/>
      <c r="H206" s="29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 spans="1:36" ht="12.75" customHeight="1" x14ac:dyDescent="0.3">
      <c r="A207" s="1"/>
      <c r="B207" s="1"/>
      <c r="C207" s="29"/>
      <c r="D207" s="30"/>
      <c r="E207" s="40"/>
      <c r="F207" s="40"/>
      <c r="G207" s="32"/>
      <c r="H207" s="29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 spans="1:36" ht="12.75" customHeight="1" x14ac:dyDescent="0.3">
      <c r="A208" s="1"/>
      <c r="B208" s="1"/>
      <c r="C208" s="29"/>
      <c r="D208" s="30"/>
      <c r="E208" s="40"/>
      <c r="F208" s="40"/>
      <c r="G208" s="32"/>
      <c r="H208" s="29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 spans="1:36" ht="12.75" customHeight="1" x14ac:dyDescent="0.3">
      <c r="A209" s="1"/>
      <c r="B209" s="1"/>
      <c r="C209" s="29"/>
      <c r="D209" s="30"/>
      <c r="E209" s="40"/>
      <c r="F209" s="40"/>
      <c r="G209" s="32"/>
      <c r="H209" s="29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 spans="1:36" ht="12.75" customHeight="1" x14ac:dyDescent="0.3">
      <c r="A210" s="1"/>
      <c r="B210" s="1"/>
      <c r="C210" s="29"/>
      <c r="D210" s="30"/>
      <c r="E210" s="40"/>
      <c r="F210" s="40"/>
      <c r="G210" s="32"/>
      <c r="H210" s="29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 spans="1:36" ht="12.75" customHeight="1" x14ac:dyDescent="0.3">
      <c r="A211" s="1"/>
      <c r="B211" s="1"/>
      <c r="C211" s="29"/>
      <c r="D211" s="30"/>
      <c r="E211" s="40"/>
      <c r="F211" s="40"/>
      <c r="G211" s="32"/>
      <c r="H211" s="29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 spans="1:36" ht="12.75" customHeight="1" x14ac:dyDescent="0.3">
      <c r="A212" s="1"/>
      <c r="B212" s="1"/>
      <c r="C212" s="29"/>
      <c r="D212" s="30"/>
      <c r="E212" s="40"/>
      <c r="F212" s="40"/>
      <c r="G212" s="32"/>
      <c r="H212" s="29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 spans="1:36" ht="12.75" customHeight="1" x14ac:dyDescent="0.3">
      <c r="A213" s="1"/>
      <c r="B213" s="1"/>
      <c r="C213" s="29"/>
      <c r="D213" s="30"/>
      <c r="E213" s="40"/>
      <c r="F213" s="40"/>
      <c r="G213" s="32"/>
      <c r="H213" s="29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 spans="1:36" ht="12.75" customHeight="1" x14ac:dyDescent="0.3">
      <c r="A214" s="1"/>
      <c r="B214" s="1"/>
      <c r="C214" s="29"/>
      <c r="D214" s="30"/>
      <c r="E214" s="40"/>
      <c r="F214" s="40"/>
      <c r="G214" s="32"/>
      <c r="H214" s="29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 spans="1:36" ht="12.75" customHeight="1" x14ac:dyDescent="0.3">
      <c r="A215" s="1"/>
      <c r="B215" s="1"/>
      <c r="C215" s="29"/>
      <c r="D215" s="30"/>
      <c r="E215" s="40"/>
      <c r="F215" s="40"/>
      <c r="G215" s="32"/>
      <c r="H215" s="29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 spans="1:36" ht="12.75" customHeight="1" x14ac:dyDescent="0.3">
      <c r="A216" s="1"/>
      <c r="B216" s="1"/>
      <c r="C216" s="29"/>
      <c r="D216" s="30"/>
      <c r="E216" s="40"/>
      <c r="F216" s="40"/>
      <c r="G216" s="32"/>
      <c r="H216" s="29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 spans="1:36" ht="12.75" customHeight="1" x14ac:dyDescent="0.3">
      <c r="A217" s="1"/>
      <c r="B217" s="1"/>
      <c r="C217" s="29"/>
      <c r="D217" s="30"/>
      <c r="E217" s="40"/>
      <c r="F217" s="40"/>
      <c r="G217" s="32"/>
      <c r="H217" s="29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 spans="1:36" ht="12.75" customHeight="1" x14ac:dyDescent="0.3">
      <c r="A218" s="1"/>
      <c r="B218" s="1"/>
      <c r="C218" s="29"/>
      <c r="D218" s="30"/>
      <c r="E218" s="40"/>
      <c r="F218" s="40"/>
      <c r="G218" s="32"/>
      <c r="H218" s="29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 spans="1:36" ht="12.75" customHeight="1" x14ac:dyDescent="0.3">
      <c r="A219" s="1"/>
      <c r="B219" s="1"/>
      <c r="C219" s="29"/>
      <c r="D219" s="30"/>
      <c r="E219" s="40"/>
      <c r="F219" s="40"/>
      <c r="G219" s="32"/>
      <c r="H219" s="29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 spans="1:36" ht="12.75" customHeight="1" x14ac:dyDescent="0.3">
      <c r="A220" s="1"/>
      <c r="B220" s="1"/>
      <c r="C220" s="29"/>
      <c r="D220" s="30"/>
      <c r="E220" s="40"/>
      <c r="F220" s="40"/>
      <c r="G220" s="32"/>
      <c r="H220" s="29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 spans="1:36" ht="12.75" customHeight="1" x14ac:dyDescent="0.3">
      <c r="A221" s="1"/>
      <c r="B221" s="1"/>
      <c r="C221" s="29"/>
      <c r="D221" s="30"/>
      <c r="E221" s="40"/>
      <c r="F221" s="40"/>
      <c r="G221" s="32"/>
      <c r="H221" s="29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</row>
    <row r="222" spans="1:36" ht="12.75" customHeight="1" x14ac:dyDescent="0.3">
      <c r="A222" s="1"/>
      <c r="B222" s="1"/>
      <c r="C222" s="29"/>
      <c r="D222" s="30"/>
      <c r="E222" s="40"/>
      <c r="F222" s="40"/>
      <c r="G222" s="32"/>
      <c r="H222" s="29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</row>
    <row r="223" spans="1:36" ht="12.75" customHeight="1" x14ac:dyDescent="0.3">
      <c r="A223" s="1"/>
      <c r="B223" s="1"/>
      <c r="C223" s="29"/>
      <c r="D223" s="30"/>
      <c r="E223" s="40"/>
      <c r="F223" s="40"/>
      <c r="G223" s="32"/>
      <c r="H223" s="29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</row>
    <row r="224" spans="1:36" ht="12.75" customHeight="1" x14ac:dyDescent="0.3">
      <c r="A224" s="1"/>
      <c r="B224" s="1"/>
      <c r="C224" s="29"/>
      <c r="D224" s="30"/>
      <c r="E224" s="40"/>
      <c r="F224" s="40"/>
      <c r="G224" s="32"/>
      <c r="H224" s="29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</row>
    <row r="225" spans="1:36" ht="12.75" customHeight="1" x14ac:dyDescent="0.3">
      <c r="A225" s="1"/>
      <c r="B225" s="1"/>
      <c r="C225" s="29"/>
      <c r="D225" s="30"/>
      <c r="E225" s="40"/>
      <c r="F225" s="40"/>
      <c r="G225" s="32"/>
      <c r="H225" s="29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</row>
    <row r="226" spans="1:36" ht="12.75" customHeight="1" x14ac:dyDescent="0.3">
      <c r="A226" s="1"/>
      <c r="B226" s="1"/>
      <c r="C226" s="29"/>
      <c r="D226" s="30"/>
      <c r="E226" s="40"/>
      <c r="F226" s="40"/>
      <c r="G226" s="32"/>
      <c r="H226" s="29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</row>
    <row r="227" spans="1:36" ht="12.75" customHeight="1" x14ac:dyDescent="0.3">
      <c r="A227" s="1"/>
      <c r="B227" s="1"/>
      <c r="C227" s="29"/>
      <c r="D227" s="30"/>
      <c r="E227" s="40"/>
      <c r="F227" s="40"/>
      <c r="G227" s="32"/>
      <c r="H227" s="29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</row>
    <row r="228" spans="1:36" ht="12.75" customHeight="1" x14ac:dyDescent="0.3">
      <c r="A228" s="1"/>
      <c r="B228" s="1"/>
      <c r="C228" s="29"/>
      <c r="D228" s="30"/>
      <c r="E228" s="40"/>
      <c r="F228" s="40"/>
      <c r="G228" s="32"/>
      <c r="H228" s="29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</row>
    <row r="229" spans="1:36" ht="12.75" customHeight="1" x14ac:dyDescent="0.3">
      <c r="A229" s="1"/>
      <c r="B229" s="1"/>
      <c r="C229" s="29"/>
      <c r="D229" s="30"/>
      <c r="E229" s="40"/>
      <c r="F229" s="40"/>
      <c r="G229" s="32"/>
      <c r="H229" s="29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</row>
    <row r="230" spans="1:36" ht="12.75" customHeight="1" x14ac:dyDescent="0.3">
      <c r="A230" s="1"/>
      <c r="B230" s="1"/>
      <c r="C230" s="29"/>
      <c r="D230" s="30"/>
      <c r="E230" s="40"/>
      <c r="F230" s="40"/>
      <c r="G230" s="32"/>
      <c r="H230" s="29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</row>
    <row r="231" spans="1:36" ht="12.75" customHeight="1" x14ac:dyDescent="0.3">
      <c r="A231" s="1"/>
      <c r="B231" s="1"/>
      <c r="C231" s="29"/>
      <c r="D231" s="30"/>
      <c r="E231" s="40"/>
      <c r="F231" s="40"/>
      <c r="G231" s="32"/>
      <c r="H231" s="29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</row>
    <row r="232" spans="1:36" ht="12.75" customHeight="1" x14ac:dyDescent="0.3">
      <c r="A232" s="1"/>
      <c r="B232" s="1"/>
      <c r="C232" s="29"/>
      <c r="D232" s="30"/>
      <c r="E232" s="40"/>
      <c r="F232" s="40"/>
      <c r="G232" s="32"/>
      <c r="H232" s="29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</row>
    <row r="233" spans="1:36" ht="12.75" customHeight="1" x14ac:dyDescent="0.3">
      <c r="A233" s="1"/>
      <c r="B233" s="1"/>
      <c r="C233" s="29"/>
      <c r="D233" s="30"/>
      <c r="E233" s="40"/>
      <c r="F233" s="40"/>
      <c r="G233" s="32"/>
      <c r="H233" s="29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</row>
    <row r="234" spans="1:36" ht="12.75" customHeight="1" x14ac:dyDescent="0.3">
      <c r="A234" s="1"/>
      <c r="B234" s="1"/>
      <c r="C234" s="29"/>
      <c r="D234" s="30"/>
      <c r="E234" s="40"/>
      <c r="F234" s="40"/>
      <c r="G234" s="32"/>
      <c r="H234" s="29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</row>
    <row r="235" spans="1:36" ht="15.75" customHeight="1" x14ac:dyDescent="0.3">
      <c r="E235" s="40"/>
      <c r="F235" s="40"/>
      <c r="G235" s="32"/>
      <c r="H235" s="29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</row>
    <row r="236" spans="1:36" ht="15.75" customHeight="1" x14ac:dyDescent="0.3"/>
    <row r="237" spans="1:36" ht="15.75" customHeight="1" x14ac:dyDescent="0.3"/>
    <row r="238" spans="1:36" ht="15.75" customHeight="1" x14ac:dyDescent="0.3"/>
    <row r="239" spans="1:36" ht="15.75" customHeight="1" x14ac:dyDescent="0.3"/>
    <row r="240" spans="1:3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</sheetData>
  <mergeCells count="36">
    <mergeCell ref="A11:A18"/>
    <mergeCell ref="B11:B18"/>
    <mergeCell ref="C11:C18"/>
    <mergeCell ref="D11:D18"/>
    <mergeCell ref="B19:B27"/>
    <mergeCell ref="C19:C27"/>
    <mergeCell ref="D19:D27"/>
    <mergeCell ref="A19:A27"/>
    <mergeCell ref="O9:O10"/>
    <mergeCell ref="P9:P10"/>
    <mergeCell ref="Q9:Q10"/>
    <mergeCell ref="S9:S10"/>
    <mergeCell ref="A7:A10"/>
    <mergeCell ref="B7:B10"/>
    <mergeCell ref="C7:C10"/>
    <mergeCell ref="D7:D10"/>
    <mergeCell ref="E7:F9"/>
    <mergeCell ref="G7:G10"/>
    <mergeCell ref="H7:H10"/>
    <mergeCell ref="I7:Q7"/>
    <mergeCell ref="D28:D35"/>
    <mergeCell ref="C28:C35"/>
    <mergeCell ref="B28:B35"/>
    <mergeCell ref="A28:A35"/>
    <mergeCell ref="T7:AB7"/>
    <mergeCell ref="I8:Q8"/>
    <mergeCell ref="T8:AB8"/>
    <mergeCell ref="T9:W9"/>
    <mergeCell ref="X9:X10"/>
    <mergeCell ref="Y9:Y10"/>
    <mergeCell ref="Z9:Z10"/>
    <mergeCell ref="AA9:AA10"/>
    <mergeCell ref="AB9:AB10"/>
    <mergeCell ref="I9:L9"/>
    <mergeCell ref="M9:M10"/>
    <mergeCell ref="N9:N10"/>
  </mergeCells>
  <conditionalFormatting sqref="P19:P24 AA6 AA9:AA15 AA19:AA24 P1:P15 P28:P32 AA28:AA32 AA34:AA35 P34:P1003">
    <cfRule type="cellIs" dxfId="135" priority="7" operator="equal">
      <formula>"No Aceptable"</formula>
    </cfRule>
  </conditionalFormatting>
  <conditionalFormatting sqref="P19:P24 AA6 AA9:AA15 AA19:AA24 P1:P15 P28:P32 AA28:AA32 AA34:AA35 P34:P1003">
    <cfRule type="cellIs" dxfId="134" priority="8" operator="equal">
      <formula>"Importante"</formula>
    </cfRule>
  </conditionalFormatting>
  <conditionalFormatting sqref="P19:P24 AA6 AA9:AA15 AA19:AA24 P1:P15 P28:P32 AA28:AA32 AA34:AA35 P34:P1003">
    <cfRule type="cellIs" dxfId="133" priority="9" operator="equal">
      <formula>"Moderado"</formula>
    </cfRule>
  </conditionalFormatting>
  <conditionalFormatting sqref="P19:P24 AA6 AA9:AA15 AA19:AA24 P1:P15 P28:P32 AA28:AA32 AA34:AA35 P34:P1003">
    <cfRule type="cellIs" dxfId="132" priority="10" operator="equal">
      <formula>"Tolerable"</formula>
    </cfRule>
  </conditionalFormatting>
  <conditionalFormatting sqref="P19:P24 AA6 AA9:AA15 AA19:AA24 P1:P15 P28:P32 AA28:AA32 AA34:AA35 P34:P1003">
    <cfRule type="cellIs" dxfId="131" priority="11" operator="equal">
      <formula>"Trivial"</formula>
    </cfRule>
  </conditionalFormatting>
  <conditionalFormatting sqref="G11:G13 G15 G19:G21 G23:G24 G28:G30 G32 G34">
    <cfRule type="expression" dxfId="130" priority="12">
      <formula>P11="No Aceptable"</formula>
    </cfRule>
  </conditionalFormatting>
  <conditionalFormatting sqref="P16 AA16">
    <cfRule type="cellIs" dxfId="129" priority="13" operator="equal">
      <formula>"No Aceptable"</formula>
    </cfRule>
  </conditionalFormatting>
  <conditionalFormatting sqref="P16 AA16">
    <cfRule type="cellIs" dxfId="128" priority="14" operator="equal">
      <formula>"Importante"</formula>
    </cfRule>
  </conditionalFormatting>
  <conditionalFormatting sqref="P16 AA16">
    <cfRule type="cellIs" dxfId="127" priority="15" operator="equal">
      <formula>"Moderado"</formula>
    </cfRule>
  </conditionalFormatting>
  <conditionalFormatting sqref="P16 AA16">
    <cfRule type="cellIs" dxfId="126" priority="16" operator="equal">
      <formula>"Tolerable"</formula>
    </cfRule>
  </conditionalFormatting>
  <conditionalFormatting sqref="P16 AA16">
    <cfRule type="cellIs" dxfId="125" priority="17" operator="equal">
      <formula>"Trivial"</formula>
    </cfRule>
  </conditionalFormatting>
  <conditionalFormatting sqref="G16">
    <cfRule type="expression" dxfId="124" priority="18">
      <formula>P16="No Aceptable"</formula>
    </cfRule>
  </conditionalFormatting>
  <conditionalFormatting sqref="P25:P26 AA25:AA26">
    <cfRule type="cellIs" dxfId="123" priority="19" operator="equal">
      <formula>"No Aceptable"</formula>
    </cfRule>
  </conditionalFormatting>
  <conditionalFormatting sqref="P25:P26 AA25:AA26">
    <cfRule type="cellIs" dxfId="122" priority="20" operator="equal">
      <formula>"Importante"</formula>
    </cfRule>
  </conditionalFormatting>
  <conditionalFormatting sqref="P25:P26 AA25:AA26">
    <cfRule type="cellIs" dxfId="121" priority="21" operator="equal">
      <formula>"Moderado"</formula>
    </cfRule>
  </conditionalFormatting>
  <conditionalFormatting sqref="P25:P26 AA25:AA26">
    <cfRule type="cellIs" dxfId="120" priority="22" operator="equal">
      <formula>"Tolerable"</formula>
    </cfRule>
  </conditionalFormatting>
  <conditionalFormatting sqref="P25:P26 AA25:AA26">
    <cfRule type="cellIs" dxfId="119" priority="23" operator="equal">
      <formula>"Trivial"</formula>
    </cfRule>
  </conditionalFormatting>
  <conditionalFormatting sqref="G25:G26">
    <cfRule type="expression" dxfId="118" priority="24">
      <formula>P25="No Aceptable"</formula>
    </cfRule>
  </conditionalFormatting>
  <conditionalFormatting sqref="G35">
    <cfRule type="expression" dxfId="117" priority="31">
      <formula>P35="No Aceptable"</formula>
    </cfRule>
  </conditionalFormatting>
  <conditionalFormatting sqref="P17:P18 AA17:AA18">
    <cfRule type="cellIs" dxfId="116" priority="32" operator="equal">
      <formula>"No Aceptable"</formula>
    </cfRule>
  </conditionalFormatting>
  <conditionalFormatting sqref="P17:P18 AA17:AA18">
    <cfRule type="cellIs" dxfId="115" priority="33" operator="equal">
      <formula>"Importante"</formula>
    </cfRule>
  </conditionalFormatting>
  <conditionalFormatting sqref="P17:P18 AA17:AA18">
    <cfRule type="cellIs" dxfId="114" priority="34" operator="equal">
      <formula>"Moderado"</formula>
    </cfRule>
  </conditionalFormatting>
  <conditionalFormatting sqref="P17:P18 AA17:AA18">
    <cfRule type="cellIs" dxfId="113" priority="35" operator="equal">
      <formula>"Tolerable"</formula>
    </cfRule>
  </conditionalFormatting>
  <conditionalFormatting sqref="P17:P18 AA17:AA18">
    <cfRule type="cellIs" dxfId="112" priority="36" operator="equal">
      <formula>"Trivial"</formula>
    </cfRule>
  </conditionalFormatting>
  <conditionalFormatting sqref="G17:G18">
    <cfRule type="expression" dxfId="111" priority="37">
      <formula>P17="No Aceptable"</formula>
    </cfRule>
  </conditionalFormatting>
  <conditionalFormatting sqref="P27 AA27">
    <cfRule type="cellIs" dxfId="110" priority="38" operator="equal">
      <formula>"No Aceptable"</formula>
    </cfRule>
  </conditionalFormatting>
  <conditionalFormatting sqref="P27 AA27">
    <cfRule type="cellIs" dxfId="109" priority="39" operator="equal">
      <formula>"Importante"</formula>
    </cfRule>
  </conditionalFormatting>
  <conditionalFormatting sqref="P27 AA27">
    <cfRule type="cellIs" dxfId="108" priority="40" operator="equal">
      <formula>"Moderado"</formula>
    </cfRule>
  </conditionalFormatting>
  <conditionalFormatting sqref="P27 AA27">
    <cfRule type="cellIs" dxfId="107" priority="41" operator="equal">
      <formula>"Tolerable"</formula>
    </cfRule>
  </conditionalFormatting>
  <conditionalFormatting sqref="P27 AA27">
    <cfRule type="cellIs" dxfId="106" priority="42" operator="equal">
      <formula>"Trivial"</formula>
    </cfRule>
  </conditionalFormatting>
  <conditionalFormatting sqref="G27">
    <cfRule type="expression" dxfId="105" priority="43">
      <formula>P27="No Aceptable"</formula>
    </cfRule>
  </conditionalFormatting>
  <conditionalFormatting sqref="P33 AA33">
    <cfRule type="cellIs" dxfId="104" priority="1" operator="equal">
      <formula>"No Aceptable"</formula>
    </cfRule>
  </conditionalFormatting>
  <conditionalFormatting sqref="P33 AA33">
    <cfRule type="cellIs" dxfId="103" priority="2" operator="equal">
      <formula>"Importante"</formula>
    </cfRule>
  </conditionalFormatting>
  <conditionalFormatting sqref="P33 AA33">
    <cfRule type="cellIs" dxfId="102" priority="3" operator="equal">
      <formula>"Moderado"</formula>
    </cfRule>
  </conditionalFormatting>
  <conditionalFormatting sqref="P33 AA33">
    <cfRule type="cellIs" dxfId="101" priority="4" operator="equal">
      <formula>"Tolerable"</formula>
    </cfRule>
  </conditionalFormatting>
  <conditionalFormatting sqref="P33 AA33">
    <cfRule type="cellIs" dxfId="100" priority="5" operator="equal">
      <formula>"Trivial"</formula>
    </cfRule>
  </conditionalFormatting>
  <conditionalFormatting sqref="G33">
    <cfRule type="expression" dxfId="99" priority="6">
      <formula>P33="No Aceptable"</formula>
    </cfRule>
  </conditionalFormatting>
  <pageMargins left="0.19685039370078741" right="0.19685039370078741" top="0.15748031496062992" bottom="0.15748031496062992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1000"/>
  <sheetViews>
    <sheetView showGridLines="0" tabSelected="1" zoomScale="60" zoomScaleNormal="60" workbookViewId="0">
      <pane ySplit="10" topLeftCell="A23" activePane="bottomLeft" state="frozen"/>
      <selection pane="bottomLeft" activeCell="G12" sqref="G12"/>
    </sheetView>
  </sheetViews>
  <sheetFormatPr baseColWidth="10" defaultColWidth="14.44140625" defaultRowHeight="15" customHeight="1" x14ac:dyDescent="0.3"/>
  <cols>
    <col min="1" max="1" width="5.44140625" customWidth="1"/>
    <col min="2" max="2" width="20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9"/>
      <c r="D1" s="30"/>
      <c r="E1" s="31"/>
      <c r="F1" s="31"/>
      <c r="G1" s="32"/>
      <c r="H1" s="2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7.5" customHeight="1" x14ac:dyDescent="0.3">
      <c r="A2" s="1"/>
      <c r="B2" s="1"/>
      <c r="C2" s="29"/>
      <c r="D2" s="30"/>
      <c r="E2" s="31"/>
      <c r="F2" s="31"/>
      <c r="G2" s="32"/>
      <c r="H2" s="29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6" ht="12.75" customHeight="1" x14ac:dyDescent="0.4">
      <c r="A3" s="34"/>
      <c r="B3" s="34"/>
      <c r="C3" s="34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6"/>
      <c r="S3" s="36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</row>
    <row r="4" spans="1:36" ht="12.75" customHeight="1" x14ac:dyDescent="0.4">
      <c r="A4" s="34"/>
      <c r="B4" s="34"/>
      <c r="C4" s="34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6"/>
      <c r="S4" s="36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</row>
    <row r="5" spans="1:36" ht="20.399999999999999" customHeight="1" x14ac:dyDescent="0.4">
      <c r="A5" s="34"/>
      <c r="B5" s="34"/>
      <c r="C5" s="34"/>
      <c r="D5" s="34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2"/>
      <c r="S5" s="2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spans="1:36" ht="26.4" customHeight="1" x14ac:dyDescent="0.4">
      <c r="A6" s="34"/>
      <c r="B6" s="74" t="s">
        <v>246</v>
      </c>
      <c r="C6" s="34"/>
      <c r="D6" s="34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2"/>
      <c r="S6" s="2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</row>
    <row r="7" spans="1:36" ht="17.25" customHeight="1" x14ac:dyDescent="0.3">
      <c r="A7" s="84" t="s">
        <v>0</v>
      </c>
      <c r="B7" s="84" t="s">
        <v>1</v>
      </c>
      <c r="C7" s="84" t="s">
        <v>2</v>
      </c>
      <c r="D7" s="84" t="s">
        <v>3</v>
      </c>
      <c r="E7" s="87" t="s">
        <v>4</v>
      </c>
      <c r="F7" s="88"/>
      <c r="G7" s="84" t="s">
        <v>197</v>
      </c>
      <c r="H7" s="94" t="s">
        <v>5</v>
      </c>
      <c r="I7" s="77" t="s">
        <v>6</v>
      </c>
      <c r="J7" s="78"/>
      <c r="K7" s="78"/>
      <c r="L7" s="78"/>
      <c r="M7" s="78"/>
      <c r="N7" s="78"/>
      <c r="O7" s="78"/>
      <c r="P7" s="78"/>
      <c r="Q7" s="79"/>
      <c r="R7" s="3"/>
      <c r="S7" s="3"/>
      <c r="T7" s="77"/>
      <c r="U7" s="78"/>
      <c r="V7" s="78"/>
      <c r="W7" s="78"/>
      <c r="X7" s="78"/>
      <c r="Y7" s="78"/>
      <c r="Z7" s="78"/>
      <c r="AA7" s="78"/>
      <c r="AB7" s="79"/>
      <c r="AC7" s="3"/>
      <c r="AD7" s="4"/>
      <c r="AE7" s="4"/>
      <c r="AF7" s="4"/>
      <c r="AG7" s="4"/>
      <c r="AH7" s="4"/>
      <c r="AI7" s="4"/>
      <c r="AJ7" s="4"/>
    </row>
    <row r="8" spans="1:36" ht="15" customHeight="1" x14ac:dyDescent="0.3">
      <c r="A8" s="85"/>
      <c r="B8" s="85"/>
      <c r="C8" s="85"/>
      <c r="D8" s="85"/>
      <c r="E8" s="89"/>
      <c r="F8" s="90"/>
      <c r="G8" s="85"/>
      <c r="H8" s="85"/>
      <c r="I8" s="77" t="s">
        <v>6</v>
      </c>
      <c r="J8" s="78"/>
      <c r="K8" s="78"/>
      <c r="L8" s="78"/>
      <c r="M8" s="78"/>
      <c r="N8" s="78"/>
      <c r="O8" s="78"/>
      <c r="P8" s="78"/>
      <c r="Q8" s="79"/>
      <c r="R8" s="5"/>
      <c r="S8" s="5"/>
      <c r="T8" s="77" t="s">
        <v>7</v>
      </c>
      <c r="U8" s="78"/>
      <c r="V8" s="78"/>
      <c r="W8" s="78"/>
      <c r="X8" s="78"/>
      <c r="Y8" s="78"/>
      <c r="Z8" s="78"/>
      <c r="AA8" s="78"/>
      <c r="AB8" s="79"/>
      <c r="AC8" s="5"/>
      <c r="AD8" s="4"/>
      <c r="AE8" s="4"/>
      <c r="AF8" s="4"/>
      <c r="AG8" s="4"/>
      <c r="AH8" s="4"/>
      <c r="AI8" s="4"/>
      <c r="AJ8" s="4"/>
    </row>
    <row r="9" spans="1:36" ht="62.25" customHeight="1" x14ac:dyDescent="0.3">
      <c r="A9" s="85"/>
      <c r="B9" s="85"/>
      <c r="C9" s="85"/>
      <c r="D9" s="85"/>
      <c r="E9" s="91"/>
      <c r="F9" s="92"/>
      <c r="G9" s="85"/>
      <c r="H9" s="85"/>
      <c r="I9" s="80" t="s">
        <v>8</v>
      </c>
      <c r="J9" s="78"/>
      <c r="K9" s="78"/>
      <c r="L9" s="79"/>
      <c r="M9" s="81" t="s">
        <v>9</v>
      </c>
      <c r="N9" s="81" t="s">
        <v>10</v>
      </c>
      <c r="O9" s="81" t="s">
        <v>11</v>
      </c>
      <c r="P9" s="81" t="s">
        <v>12</v>
      </c>
      <c r="Q9" s="81" t="s">
        <v>13</v>
      </c>
      <c r="R9" s="5" t="s">
        <v>14</v>
      </c>
      <c r="S9" s="83" t="s">
        <v>15</v>
      </c>
      <c r="T9" s="80" t="s">
        <v>8</v>
      </c>
      <c r="U9" s="78"/>
      <c r="V9" s="78"/>
      <c r="W9" s="79"/>
      <c r="X9" s="81" t="s">
        <v>9</v>
      </c>
      <c r="Y9" s="81" t="s">
        <v>10</v>
      </c>
      <c r="Z9" s="81" t="s">
        <v>11</v>
      </c>
      <c r="AA9" s="81" t="s">
        <v>12</v>
      </c>
      <c r="AB9" s="81" t="s">
        <v>13</v>
      </c>
      <c r="AC9" s="5" t="s">
        <v>16</v>
      </c>
      <c r="AD9" s="4"/>
      <c r="AE9" s="4"/>
      <c r="AF9" s="4"/>
      <c r="AG9" s="4"/>
      <c r="AH9" s="4"/>
      <c r="AI9" s="4"/>
      <c r="AJ9" s="4"/>
    </row>
    <row r="10" spans="1:36" ht="87.75" customHeight="1" x14ac:dyDescent="0.3">
      <c r="A10" s="93"/>
      <c r="B10" s="93"/>
      <c r="C10" s="93"/>
      <c r="D10" s="93"/>
      <c r="E10" s="6" t="s">
        <v>17</v>
      </c>
      <c r="F10" s="7" t="s">
        <v>18</v>
      </c>
      <c r="G10" s="86"/>
      <c r="H10" s="86"/>
      <c r="I10" s="8" t="s">
        <v>19</v>
      </c>
      <c r="J10" s="8" t="s">
        <v>20</v>
      </c>
      <c r="K10" s="8" t="s">
        <v>21</v>
      </c>
      <c r="L10" s="8" t="s">
        <v>22</v>
      </c>
      <c r="M10" s="82"/>
      <c r="N10" s="82"/>
      <c r="O10" s="82"/>
      <c r="P10" s="82"/>
      <c r="Q10" s="82"/>
      <c r="R10" s="5"/>
      <c r="S10" s="82"/>
      <c r="T10" s="8" t="s">
        <v>19</v>
      </c>
      <c r="U10" s="8" t="s">
        <v>20</v>
      </c>
      <c r="V10" s="8" t="s">
        <v>21</v>
      </c>
      <c r="W10" s="8" t="s">
        <v>22</v>
      </c>
      <c r="X10" s="82"/>
      <c r="Y10" s="82"/>
      <c r="Z10" s="82"/>
      <c r="AA10" s="82"/>
      <c r="AB10" s="82"/>
      <c r="AC10" s="5"/>
      <c r="AD10" s="4"/>
      <c r="AE10" s="4"/>
      <c r="AF10" s="4"/>
      <c r="AG10" s="4"/>
      <c r="AH10" s="4"/>
      <c r="AI10" s="4"/>
      <c r="AJ10" s="4"/>
    </row>
    <row r="11" spans="1:36" ht="56.25" customHeight="1" x14ac:dyDescent="0.3">
      <c r="A11" s="75">
        <v>4</v>
      </c>
      <c r="B11" s="75" t="s">
        <v>81</v>
      </c>
      <c r="C11" s="75" t="s">
        <v>82</v>
      </c>
      <c r="D11" s="75" t="s">
        <v>83</v>
      </c>
      <c r="E11" s="25"/>
      <c r="F11" s="9" t="s">
        <v>26</v>
      </c>
      <c r="G11" s="10" t="s">
        <v>84</v>
      </c>
      <c r="H11" s="10" t="s">
        <v>85</v>
      </c>
      <c r="I11" s="10">
        <v>1</v>
      </c>
      <c r="J11" s="10">
        <v>2</v>
      </c>
      <c r="K11" s="10">
        <v>2</v>
      </c>
      <c r="L11" s="10">
        <v>3</v>
      </c>
      <c r="M11" s="10">
        <f t="shared" ref="M11:M21" si="0">I11+J11+K11+L11</f>
        <v>8</v>
      </c>
      <c r="N11" s="10">
        <v>2</v>
      </c>
      <c r="O11" s="11">
        <f t="shared" ref="O11:O21" si="1">M11*N11</f>
        <v>16</v>
      </c>
      <c r="P11" s="12" t="str">
        <f t="shared" ref="P11:P12" si="2">IF(G11="No","It",IF(O11&lt;=4,"Trivial",IF(O11&lt;=8,"Tolerable",IF(O11&lt;=16,"Moderado",IF(O11&lt;=24,"Importante",IF(O11&lt;=36,"No Aceptable"))))))</f>
        <v>Moderado</v>
      </c>
      <c r="Q11" s="12" t="str">
        <f t="shared" ref="Q11:Q12" si="3">IF(P11="Trivial","NO",IF(P11="Tolerable","NO",IF(P11="Moderado","NO",IF(P11="Importante","SÍ",IF(P11="No Aceptable","SÍ")))))</f>
        <v>NO</v>
      </c>
      <c r="R11" s="13" t="s">
        <v>86</v>
      </c>
      <c r="S11" s="14" t="s">
        <v>30</v>
      </c>
      <c r="T11" s="10">
        <v>1</v>
      </c>
      <c r="U11" s="10">
        <v>1</v>
      </c>
      <c r="V11" s="10">
        <v>1</v>
      </c>
      <c r="W11" s="10">
        <v>3</v>
      </c>
      <c r="X11" s="10">
        <f t="shared" ref="X11:X21" si="4">T11+U11+V11+W11</f>
        <v>6</v>
      </c>
      <c r="Y11" s="10">
        <v>1</v>
      </c>
      <c r="Z11" s="11">
        <f t="shared" ref="Z11:Z21" si="5">X11*Y11</f>
        <v>6</v>
      </c>
      <c r="AA11" s="12" t="str">
        <f t="shared" ref="AA11:AA12" si="6">IF(R11="No","It",IF(Z11&lt;=4,"Trivial",IF(Z11&lt;=8,"Tolerable",IF(Z11&lt;=16,"Moderado",IF(Z11&lt;=24,"Importante",IF(Z11&lt;=36,"No Aceptable"))))))</f>
        <v>Tolerable</v>
      </c>
      <c r="AB11" s="12" t="str">
        <f t="shared" ref="AB11:AB12" si="7">IF(AA11="Trivial","NO",IF(AA11="Tolerable","NO",IF(AA11="Moderado","NO",IF(AA11="Importante","SÍ",IF(AA11="No Aceptable","SÍ")))))</f>
        <v>NO</v>
      </c>
      <c r="AC11" s="13" t="s">
        <v>31</v>
      </c>
      <c r="AD11" s="15"/>
      <c r="AE11" s="15"/>
      <c r="AF11" s="15"/>
      <c r="AG11" s="15"/>
      <c r="AH11" s="15"/>
      <c r="AI11" s="15"/>
      <c r="AJ11" s="15"/>
    </row>
    <row r="12" spans="1:36" ht="30" customHeight="1" x14ac:dyDescent="0.3">
      <c r="A12" s="75"/>
      <c r="B12" s="75"/>
      <c r="C12" s="75"/>
      <c r="D12" s="75"/>
      <c r="E12" s="26"/>
      <c r="F12" s="9" t="s">
        <v>26</v>
      </c>
      <c r="G12" s="10" t="s">
        <v>32</v>
      </c>
      <c r="H12" s="10" t="s">
        <v>33</v>
      </c>
      <c r="I12" s="10">
        <v>1</v>
      </c>
      <c r="J12" s="10">
        <v>1</v>
      </c>
      <c r="K12" s="10">
        <v>2</v>
      </c>
      <c r="L12" s="10">
        <v>3</v>
      </c>
      <c r="M12" s="10">
        <f t="shared" si="0"/>
        <v>7</v>
      </c>
      <c r="N12" s="10">
        <v>2</v>
      </c>
      <c r="O12" s="11">
        <f t="shared" si="1"/>
        <v>14</v>
      </c>
      <c r="P12" s="12" t="str">
        <f t="shared" si="2"/>
        <v>Moderado</v>
      </c>
      <c r="Q12" s="12" t="str">
        <f t="shared" si="3"/>
        <v>NO</v>
      </c>
      <c r="R12" s="13" t="s">
        <v>36</v>
      </c>
      <c r="S12" s="14" t="s">
        <v>72</v>
      </c>
      <c r="T12" s="10">
        <v>1</v>
      </c>
      <c r="U12" s="10">
        <v>1</v>
      </c>
      <c r="V12" s="10">
        <v>1</v>
      </c>
      <c r="W12" s="10">
        <v>3</v>
      </c>
      <c r="X12" s="10">
        <f t="shared" si="4"/>
        <v>6</v>
      </c>
      <c r="Y12" s="10">
        <v>2</v>
      </c>
      <c r="Z12" s="11">
        <f t="shared" si="5"/>
        <v>12</v>
      </c>
      <c r="AA12" s="12" t="str">
        <f t="shared" si="6"/>
        <v>Moderado</v>
      </c>
      <c r="AB12" s="12" t="str">
        <f t="shared" si="7"/>
        <v>NO</v>
      </c>
      <c r="AC12" s="13" t="s">
        <v>38</v>
      </c>
      <c r="AD12" s="15"/>
      <c r="AE12" s="15"/>
      <c r="AF12" s="15"/>
      <c r="AG12" s="15"/>
      <c r="AH12" s="15"/>
      <c r="AI12" s="15"/>
      <c r="AJ12" s="15"/>
    </row>
    <row r="13" spans="1:36" ht="37.5" customHeight="1" x14ac:dyDescent="0.3">
      <c r="A13" s="75"/>
      <c r="B13" s="75"/>
      <c r="C13" s="75"/>
      <c r="D13" s="75"/>
      <c r="E13" s="25"/>
      <c r="F13" s="9" t="s">
        <v>26</v>
      </c>
      <c r="G13" s="10" t="s">
        <v>87</v>
      </c>
      <c r="H13" s="10" t="s">
        <v>88</v>
      </c>
      <c r="I13" s="10">
        <v>1</v>
      </c>
      <c r="J13" s="10">
        <v>1</v>
      </c>
      <c r="K13" s="10">
        <v>1</v>
      </c>
      <c r="L13" s="10">
        <v>2</v>
      </c>
      <c r="M13" s="10">
        <f t="shared" si="0"/>
        <v>5</v>
      </c>
      <c r="N13" s="10">
        <v>2</v>
      </c>
      <c r="O13" s="11">
        <f t="shared" si="1"/>
        <v>10</v>
      </c>
      <c r="P13" s="16" t="s">
        <v>34</v>
      </c>
      <c r="Q13" s="12" t="s">
        <v>35</v>
      </c>
      <c r="R13" s="13" t="s">
        <v>89</v>
      </c>
      <c r="S13" s="14" t="s">
        <v>90</v>
      </c>
      <c r="T13" s="10">
        <v>1</v>
      </c>
      <c r="U13" s="10">
        <v>1</v>
      </c>
      <c r="V13" s="10">
        <v>1</v>
      </c>
      <c r="W13" s="10">
        <v>2</v>
      </c>
      <c r="X13" s="10">
        <f t="shared" si="4"/>
        <v>5</v>
      </c>
      <c r="Y13" s="10">
        <v>1</v>
      </c>
      <c r="Z13" s="11">
        <f t="shared" si="5"/>
        <v>5</v>
      </c>
      <c r="AA13" s="24" t="s">
        <v>37</v>
      </c>
      <c r="AB13" s="12" t="s">
        <v>35</v>
      </c>
      <c r="AC13" s="13" t="s">
        <v>91</v>
      </c>
      <c r="AD13" s="15"/>
      <c r="AE13" s="15"/>
      <c r="AF13" s="15"/>
      <c r="AG13" s="15"/>
      <c r="AH13" s="15"/>
      <c r="AI13" s="15"/>
      <c r="AJ13" s="15"/>
    </row>
    <row r="14" spans="1:36" ht="39" customHeight="1" x14ac:dyDescent="0.3">
      <c r="A14" s="75"/>
      <c r="B14" s="75"/>
      <c r="C14" s="75"/>
      <c r="D14" s="75"/>
      <c r="E14" s="25" t="s">
        <v>26</v>
      </c>
      <c r="F14" s="21"/>
      <c r="G14" s="10" t="s">
        <v>92</v>
      </c>
      <c r="H14" s="10" t="s">
        <v>93</v>
      </c>
      <c r="I14" s="10">
        <v>1</v>
      </c>
      <c r="J14" s="10">
        <v>1</v>
      </c>
      <c r="K14" s="10">
        <v>1</v>
      </c>
      <c r="L14" s="10">
        <v>3</v>
      </c>
      <c r="M14" s="10">
        <f t="shared" si="0"/>
        <v>6</v>
      </c>
      <c r="N14" s="14">
        <v>2</v>
      </c>
      <c r="O14" s="11">
        <f t="shared" si="1"/>
        <v>12</v>
      </c>
      <c r="P14" s="12" t="str">
        <f t="shared" ref="P14:P21" si="8">IF(G14="No","It",IF(O14&lt;=4,"Trivial",IF(O14&lt;=8,"Tolerable",IF(O14&lt;=16,"Moderado",IF(O14&lt;=24,"Importante",IF(O14&lt;=36,"No Aceptable"))))))</f>
        <v>Moderado</v>
      </c>
      <c r="Q14" s="12" t="str">
        <f t="shared" ref="Q14:Q21" si="9">IF(P14="Trivial","NO",IF(P14="Tolerable","NO",IF(P14="Moderado","NO",IF(P14="Importante","SÍ",IF(P14="No Aceptable","SÍ")))))</f>
        <v>NO</v>
      </c>
      <c r="R14" s="13" t="s">
        <v>94</v>
      </c>
      <c r="S14" s="14" t="s">
        <v>95</v>
      </c>
      <c r="T14" s="10">
        <v>1</v>
      </c>
      <c r="U14" s="10">
        <v>1</v>
      </c>
      <c r="V14" s="10">
        <v>1</v>
      </c>
      <c r="W14" s="10">
        <v>3</v>
      </c>
      <c r="X14" s="10">
        <f t="shared" si="4"/>
        <v>6</v>
      </c>
      <c r="Y14" s="14">
        <v>1</v>
      </c>
      <c r="Z14" s="11">
        <f t="shared" si="5"/>
        <v>6</v>
      </c>
      <c r="AA14" s="12" t="str">
        <f t="shared" ref="AA14:AA21" si="10">IF(R14="No","It",IF(Z14&lt;=4,"Trivial",IF(Z14&lt;=8,"Tolerable",IF(Z14&lt;=16,"Moderado",IF(Z14&lt;=24,"Importante",IF(Z14&lt;=36,"No Aceptable"))))))</f>
        <v>Tolerable</v>
      </c>
      <c r="AB14" s="12" t="str">
        <f t="shared" ref="AB14:AB21" si="11">IF(AA14="Trivial","NO",IF(AA14="Tolerable","NO",IF(AA14="Moderado","NO",IF(AA14="Importante","SÍ",IF(AA14="No Aceptable","SÍ")))))</f>
        <v>NO</v>
      </c>
      <c r="AC14" s="13" t="s">
        <v>46</v>
      </c>
      <c r="AD14" s="15"/>
      <c r="AE14" s="15"/>
      <c r="AF14" s="15"/>
      <c r="AG14" s="15"/>
      <c r="AH14" s="15"/>
      <c r="AI14" s="15"/>
      <c r="AJ14" s="15"/>
    </row>
    <row r="15" spans="1:36" ht="63" customHeight="1" x14ac:dyDescent="0.3">
      <c r="A15" s="75"/>
      <c r="B15" s="75"/>
      <c r="C15" s="75"/>
      <c r="D15" s="75"/>
      <c r="E15" s="25" t="s">
        <v>26</v>
      </c>
      <c r="F15" s="21"/>
      <c r="G15" s="14" t="s">
        <v>96</v>
      </c>
      <c r="H15" s="14" t="s">
        <v>97</v>
      </c>
      <c r="I15" s="14">
        <v>1</v>
      </c>
      <c r="J15" s="10">
        <v>1</v>
      </c>
      <c r="K15" s="10">
        <v>1</v>
      </c>
      <c r="L15" s="10">
        <v>3</v>
      </c>
      <c r="M15" s="10">
        <f t="shared" si="0"/>
        <v>6</v>
      </c>
      <c r="N15" s="14">
        <v>1</v>
      </c>
      <c r="O15" s="11">
        <f t="shared" si="1"/>
        <v>6</v>
      </c>
      <c r="P15" s="12" t="str">
        <f t="shared" si="8"/>
        <v>Tolerable</v>
      </c>
      <c r="Q15" s="12" t="str">
        <f t="shared" si="9"/>
        <v>NO</v>
      </c>
      <c r="R15" s="13" t="s">
        <v>98</v>
      </c>
      <c r="S15" s="14" t="s">
        <v>99</v>
      </c>
      <c r="T15" s="14">
        <v>1</v>
      </c>
      <c r="U15" s="10">
        <v>1</v>
      </c>
      <c r="V15" s="10">
        <v>1</v>
      </c>
      <c r="W15" s="10">
        <v>3</v>
      </c>
      <c r="X15" s="10">
        <f t="shared" si="4"/>
        <v>6</v>
      </c>
      <c r="Y15" s="14">
        <v>1</v>
      </c>
      <c r="Z15" s="11">
        <f t="shared" si="5"/>
        <v>6</v>
      </c>
      <c r="AA15" s="12" t="str">
        <f t="shared" si="10"/>
        <v>Tolerable</v>
      </c>
      <c r="AB15" s="12" t="str">
        <f t="shared" si="11"/>
        <v>NO</v>
      </c>
      <c r="AC15" s="13" t="s">
        <v>31</v>
      </c>
      <c r="AD15" s="15"/>
      <c r="AE15" s="15"/>
      <c r="AF15" s="15"/>
      <c r="AG15" s="15"/>
      <c r="AH15" s="15"/>
      <c r="AI15" s="15"/>
      <c r="AJ15" s="15"/>
    </row>
    <row r="16" spans="1:36" ht="51" customHeight="1" x14ac:dyDescent="0.3">
      <c r="A16" s="75"/>
      <c r="B16" s="75"/>
      <c r="C16" s="75"/>
      <c r="D16" s="75"/>
      <c r="E16" s="25" t="s">
        <v>26</v>
      </c>
      <c r="F16" s="21"/>
      <c r="G16" s="22" t="s">
        <v>100</v>
      </c>
      <c r="H16" s="14" t="s">
        <v>101</v>
      </c>
      <c r="I16" s="14">
        <v>1</v>
      </c>
      <c r="J16" s="10">
        <v>1</v>
      </c>
      <c r="K16" s="10">
        <v>1</v>
      </c>
      <c r="L16" s="10">
        <v>3</v>
      </c>
      <c r="M16" s="10">
        <f t="shared" si="0"/>
        <v>6</v>
      </c>
      <c r="N16" s="14">
        <v>2</v>
      </c>
      <c r="O16" s="11">
        <f t="shared" si="1"/>
        <v>12</v>
      </c>
      <c r="P16" s="12" t="str">
        <f t="shared" si="8"/>
        <v>Moderado</v>
      </c>
      <c r="Q16" s="12" t="str">
        <f t="shared" si="9"/>
        <v>NO</v>
      </c>
      <c r="R16" s="13" t="s">
        <v>102</v>
      </c>
      <c r="S16" s="14" t="s">
        <v>103</v>
      </c>
      <c r="T16" s="14">
        <v>1</v>
      </c>
      <c r="U16" s="10">
        <v>1</v>
      </c>
      <c r="V16" s="10">
        <v>1</v>
      </c>
      <c r="W16" s="10">
        <v>3</v>
      </c>
      <c r="X16" s="10">
        <f t="shared" si="4"/>
        <v>6</v>
      </c>
      <c r="Y16" s="14">
        <v>1</v>
      </c>
      <c r="Z16" s="11">
        <f t="shared" si="5"/>
        <v>6</v>
      </c>
      <c r="AA16" s="12" t="str">
        <f t="shared" si="10"/>
        <v>Tolerable</v>
      </c>
      <c r="AB16" s="12" t="str">
        <f t="shared" si="11"/>
        <v>NO</v>
      </c>
      <c r="AC16" s="13" t="s">
        <v>104</v>
      </c>
      <c r="AD16" s="15"/>
      <c r="AE16" s="15"/>
      <c r="AF16" s="15"/>
      <c r="AG16" s="15"/>
      <c r="AH16" s="15"/>
      <c r="AI16" s="15"/>
      <c r="AJ16" s="15"/>
    </row>
    <row r="17" spans="1:36" ht="33" customHeight="1" x14ac:dyDescent="0.3">
      <c r="A17" s="75"/>
      <c r="B17" s="75"/>
      <c r="C17" s="75"/>
      <c r="D17" s="75"/>
      <c r="E17" s="25"/>
      <c r="F17" s="9" t="s">
        <v>26</v>
      </c>
      <c r="G17" s="10" t="s">
        <v>105</v>
      </c>
      <c r="H17" s="10" t="s">
        <v>40</v>
      </c>
      <c r="I17" s="10">
        <v>1</v>
      </c>
      <c r="J17" s="10">
        <v>1</v>
      </c>
      <c r="K17" s="10">
        <v>1</v>
      </c>
      <c r="L17" s="10">
        <v>3</v>
      </c>
      <c r="M17" s="10">
        <f t="shared" si="0"/>
        <v>6</v>
      </c>
      <c r="N17" s="14">
        <v>2</v>
      </c>
      <c r="O17" s="11">
        <f t="shared" si="1"/>
        <v>12</v>
      </c>
      <c r="P17" s="12" t="str">
        <f t="shared" si="8"/>
        <v>Moderado</v>
      </c>
      <c r="Q17" s="12" t="str">
        <f t="shared" si="9"/>
        <v>NO</v>
      </c>
      <c r="R17" s="13" t="s">
        <v>106</v>
      </c>
      <c r="S17" s="14" t="s">
        <v>107</v>
      </c>
      <c r="T17" s="10">
        <v>1</v>
      </c>
      <c r="U17" s="10">
        <v>1</v>
      </c>
      <c r="V17" s="10">
        <v>1</v>
      </c>
      <c r="W17" s="10">
        <v>3</v>
      </c>
      <c r="X17" s="10">
        <f t="shared" si="4"/>
        <v>6</v>
      </c>
      <c r="Y17" s="14">
        <v>1</v>
      </c>
      <c r="Z17" s="11">
        <f t="shared" si="5"/>
        <v>6</v>
      </c>
      <c r="AA17" s="12" t="str">
        <f t="shared" si="10"/>
        <v>Tolerable</v>
      </c>
      <c r="AB17" s="12" t="str">
        <f t="shared" si="11"/>
        <v>NO</v>
      </c>
      <c r="AC17" s="13" t="s">
        <v>31</v>
      </c>
      <c r="AD17" s="15"/>
      <c r="AE17" s="15"/>
      <c r="AF17" s="15"/>
      <c r="AG17" s="15"/>
      <c r="AH17" s="15"/>
      <c r="AI17" s="15"/>
      <c r="AJ17" s="15"/>
    </row>
    <row r="18" spans="1:36" ht="76.5" customHeight="1" x14ac:dyDescent="0.3">
      <c r="A18" s="75"/>
      <c r="B18" s="75"/>
      <c r="C18" s="75"/>
      <c r="D18" s="75"/>
      <c r="E18" s="59"/>
      <c r="F18" s="21" t="s">
        <v>26</v>
      </c>
      <c r="G18" s="14" t="s">
        <v>57</v>
      </c>
      <c r="H18" s="14" t="s">
        <v>58</v>
      </c>
      <c r="I18" s="22">
        <v>1</v>
      </c>
      <c r="J18" s="22">
        <v>1</v>
      </c>
      <c r="K18" s="22">
        <v>1</v>
      </c>
      <c r="L18" s="22">
        <v>3</v>
      </c>
      <c r="M18" s="10">
        <f t="shared" si="0"/>
        <v>6</v>
      </c>
      <c r="N18" s="22">
        <v>3</v>
      </c>
      <c r="O18" s="11">
        <f t="shared" si="1"/>
        <v>18</v>
      </c>
      <c r="P18" s="12" t="str">
        <f t="shared" si="8"/>
        <v>Importante</v>
      </c>
      <c r="Q18" s="12" t="str">
        <f t="shared" si="9"/>
        <v>SÍ</v>
      </c>
      <c r="R18" s="13" t="s">
        <v>59</v>
      </c>
      <c r="S18" s="14" t="s">
        <v>60</v>
      </c>
      <c r="T18" s="22">
        <v>1</v>
      </c>
      <c r="U18" s="22">
        <v>1</v>
      </c>
      <c r="V18" s="22">
        <v>1</v>
      </c>
      <c r="W18" s="22">
        <v>3</v>
      </c>
      <c r="X18" s="10">
        <f t="shared" si="4"/>
        <v>6</v>
      </c>
      <c r="Y18" s="22">
        <v>1</v>
      </c>
      <c r="Z18" s="11">
        <f t="shared" si="5"/>
        <v>6</v>
      </c>
      <c r="AA18" s="12" t="str">
        <f t="shared" si="10"/>
        <v>Tolerable</v>
      </c>
      <c r="AB18" s="12" t="str">
        <f t="shared" si="11"/>
        <v>NO</v>
      </c>
      <c r="AC18" s="18" t="s">
        <v>61</v>
      </c>
      <c r="AD18" s="15"/>
      <c r="AE18" s="15"/>
      <c r="AF18" s="15"/>
      <c r="AG18" s="15"/>
      <c r="AH18" s="15"/>
      <c r="AI18" s="15"/>
      <c r="AJ18" s="15"/>
    </row>
    <row r="19" spans="1:36" ht="77.25" customHeight="1" x14ac:dyDescent="0.3">
      <c r="A19" s="75"/>
      <c r="B19" s="75"/>
      <c r="C19" s="75"/>
      <c r="D19" s="75"/>
      <c r="E19" s="25" t="s">
        <v>26</v>
      </c>
      <c r="F19" s="21"/>
      <c r="G19" s="63" t="s">
        <v>145</v>
      </c>
      <c r="H19" s="14" t="s">
        <v>146</v>
      </c>
      <c r="I19" s="22">
        <v>3</v>
      </c>
      <c r="J19" s="22">
        <v>1</v>
      </c>
      <c r="K19" s="22">
        <v>2</v>
      </c>
      <c r="L19" s="22">
        <v>2</v>
      </c>
      <c r="M19" s="10">
        <f t="shared" si="0"/>
        <v>8</v>
      </c>
      <c r="N19" s="22">
        <v>3</v>
      </c>
      <c r="O19" s="11">
        <f t="shared" si="1"/>
        <v>24</v>
      </c>
      <c r="P19" s="12" t="str">
        <f t="shared" si="8"/>
        <v>Importante</v>
      </c>
      <c r="Q19" s="12" t="str">
        <f t="shared" si="9"/>
        <v>SÍ</v>
      </c>
      <c r="R19" s="13" t="s">
        <v>147</v>
      </c>
      <c r="S19" s="14" t="s">
        <v>148</v>
      </c>
      <c r="T19" s="22">
        <v>3</v>
      </c>
      <c r="U19" s="22">
        <v>1</v>
      </c>
      <c r="V19" s="22">
        <v>1</v>
      </c>
      <c r="W19" s="22">
        <v>3</v>
      </c>
      <c r="X19" s="10">
        <f t="shared" si="4"/>
        <v>8</v>
      </c>
      <c r="Y19" s="22">
        <v>3</v>
      </c>
      <c r="Z19" s="11">
        <f t="shared" si="5"/>
        <v>24</v>
      </c>
      <c r="AA19" s="12" t="str">
        <f t="shared" si="10"/>
        <v>Importante</v>
      </c>
      <c r="AB19" s="12" t="str">
        <f t="shared" si="11"/>
        <v>SÍ</v>
      </c>
      <c r="AC19" s="13" t="s">
        <v>149</v>
      </c>
      <c r="AD19" s="15"/>
      <c r="AE19" s="15"/>
      <c r="AF19" s="15"/>
      <c r="AG19" s="15"/>
      <c r="AH19" s="15"/>
      <c r="AI19" s="15"/>
      <c r="AJ19" s="15"/>
    </row>
    <row r="20" spans="1:36" ht="72.75" customHeight="1" x14ac:dyDescent="0.3">
      <c r="A20" s="75"/>
      <c r="B20" s="75"/>
      <c r="C20" s="75"/>
      <c r="D20" s="75"/>
      <c r="E20" s="25"/>
      <c r="F20" s="9" t="s">
        <v>26</v>
      </c>
      <c r="G20" s="22" t="s">
        <v>79</v>
      </c>
      <c r="H20" s="20" t="s">
        <v>51</v>
      </c>
      <c r="I20" s="14">
        <v>1</v>
      </c>
      <c r="J20" s="10">
        <v>2</v>
      </c>
      <c r="K20" s="10">
        <v>2</v>
      </c>
      <c r="L20" s="10">
        <v>3</v>
      </c>
      <c r="M20" s="10">
        <f t="shared" si="0"/>
        <v>8</v>
      </c>
      <c r="N20" s="14">
        <v>2</v>
      </c>
      <c r="O20" s="11">
        <f t="shared" si="1"/>
        <v>16</v>
      </c>
      <c r="P20" s="12" t="str">
        <f t="shared" si="8"/>
        <v>Moderado</v>
      </c>
      <c r="Q20" s="12" t="str">
        <f t="shared" si="9"/>
        <v>NO</v>
      </c>
      <c r="R20" s="18" t="s">
        <v>52</v>
      </c>
      <c r="S20" s="14" t="s">
        <v>73</v>
      </c>
      <c r="T20" s="14">
        <v>1</v>
      </c>
      <c r="U20" s="10">
        <v>1</v>
      </c>
      <c r="V20" s="10">
        <v>2</v>
      </c>
      <c r="W20" s="10">
        <v>3</v>
      </c>
      <c r="X20" s="10">
        <f t="shared" si="4"/>
        <v>7</v>
      </c>
      <c r="Y20" s="14">
        <v>1</v>
      </c>
      <c r="Z20" s="11">
        <f t="shared" si="5"/>
        <v>7</v>
      </c>
      <c r="AA20" s="12" t="str">
        <f t="shared" si="10"/>
        <v>Tolerable</v>
      </c>
      <c r="AB20" s="12" t="str">
        <f t="shared" si="11"/>
        <v>NO</v>
      </c>
      <c r="AC20" s="13" t="s">
        <v>31</v>
      </c>
      <c r="AD20" s="15"/>
      <c r="AE20" s="15"/>
      <c r="AF20" s="15"/>
      <c r="AG20" s="15"/>
      <c r="AH20" s="15"/>
      <c r="AI20" s="15"/>
      <c r="AJ20" s="15"/>
    </row>
    <row r="21" spans="1:36" ht="61.8" customHeight="1" x14ac:dyDescent="0.3">
      <c r="A21" s="75"/>
      <c r="B21" s="75"/>
      <c r="C21" s="75"/>
      <c r="D21" s="75"/>
      <c r="E21" s="25"/>
      <c r="F21" s="21" t="s">
        <v>26</v>
      </c>
      <c r="G21" s="22" t="s">
        <v>108</v>
      </c>
      <c r="H21" s="14" t="s">
        <v>109</v>
      </c>
      <c r="I21" s="22">
        <v>1</v>
      </c>
      <c r="J21" s="10">
        <v>1</v>
      </c>
      <c r="K21" s="10">
        <v>1</v>
      </c>
      <c r="L21" s="10">
        <v>3</v>
      </c>
      <c r="M21" s="10">
        <f t="shared" si="0"/>
        <v>6</v>
      </c>
      <c r="N21" s="22">
        <v>2</v>
      </c>
      <c r="O21" s="11">
        <f t="shared" si="1"/>
        <v>12</v>
      </c>
      <c r="P21" s="12" t="str">
        <f t="shared" si="8"/>
        <v>Moderado</v>
      </c>
      <c r="Q21" s="12" t="str">
        <f t="shared" si="9"/>
        <v>NO</v>
      </c>
      <c r="R21" s="13" t="s">
        <v>110</v>
      </c>
      <c r="S21" s="14" t="s">
        <v>111</v>
      </c>
      <c r="T21" s="22">
        <v>1</v>
      </c>
      <c r="U21" s="10">
        <v>1</v>
      </c>
      <c r="V21" s="10">
        <v>1</v>
      </c>
      <c r="W21" s="10">
        <v>3</v>
      </c>
      <c r="X21" s="10">
        <f t="shared" si="4"/>
        <v>6</v>
      </c>
      <c r="Y21" s="22">
        <v>1</v>
      </c>
      <c r="Z21" s="11">
        <f t="shared" si="5"/>
        <v>6</v>
      </c>
      <c r="AA21" s="12" t="str">
        <f t="shared" si="10"/>
        <v>Tolerable</v>
      </c>
      <c r="AB21" s="12" t="str">
        <f t="shared" si="11"/>
        <v>NO</v>
      </c>
      <c r="AC21" s="13" t="s">
        <v>112</v>
      </c>
      <c r="AD21" s="33"/>
      <c r="AE21" s="33"/>
      <c r="AF21" s="33"/>
      <c r="AG21" s="33"/>
      <c r="AH21" s="33"/>
      <c r="AI21" s="33"/>
      <c r="AJ21" s="33"/>
    </row>
    <row r="22" spans="1:36" ht="12.75" customHeight="1" x14ac:dyDescent="0.3">
      <c r="A22" s="1"/>
      <c r="B22" s="1"/>
      <c r="C22" s="29"/>
      <c r="D22" s="30"/>
      <c r="E22" s="40"/>
      <c r="F22" s="40"/>
      <c r="G22" s="32"/>
      <c r="H22" s="29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</row>
    <row r="23" spans="1:36" ht="12.75" customHeight="1" x14ac:dyDescent="0.3">
      <c r="A23" s="1"/>
      <c r="B23" s="1"/>
      <c r="C23" s="29"/>
      <c r="D23" s="30"/>
      <c r="E23" s="40"/>
      <c r="F23" s="40"/>
      <c r="G23" s="32"/>
      <c r="H23" s="29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spans="1:36" ht="12.75" customHeight="1" x14ac:dyDescent="0.3">
      <c r="A24" s="1"/>
      <c r="B24" s="1"/>
      <c r="C24" s="29"/>
      <c r="D24" s="30"/>
      <c r="E24" s="40"/>
      <c r="F24" s="40"/>
      <c r="G24" s="32"/>
      <c r="H24" s="29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spans="1:36" ht="12.75" customHeight="1" x14ac:dyDescent="0.3">
      <c r="A25" s="1"/>
      <c r="B25" s="1"/>
      <c r="C25" s="29"/>
      <c r="D25" s="30"/>
      <c r="E25" s="40"/>
      <c r="F25" s="40"/>
      <c r="G25" s="32"/>
      <c r="H25" s="29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spans="1:36" ht="12.75" customHeight="1" x14ac:dyDescent="0.3">
      <c r="A26" s="1"/>
      <c r="B26" s="1"/>
      <c r="C26" s="29"/>
      <c r="D26" s="30"/>
      <c r="E26" s="40"/>
      <c r="F26" s="40"/>
      <c r="G26" s="32"/>
      <c r="H26" s="2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6" ht="12.75" customHeight="1" x14ac:dyDescent="0.3">
      <c r="A27" s="1"/>
      <c r="B27" s="1"/>
      <c r="C27" s="29"/>
      <c r="D27" s="30"/>
      <c r="E27" s="40"/>
      <c r="F27" s="40"/>
      <c r="G27" s="32"/>
      <c r="H27" s="2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6" ht="12.75" customHeight="1" x14ac:dyDescent="0.3">
      <c r="A28" s="1"/>
      <c r="B28" s="1"/>
      <c r="C28" s="29"/>
      <c r="D28" s="30"/>
      <c r="E28" s="40"/>
      <c r="F28" s="40"/>
      <c r="G28" s="32"/>
      <c r="H28" s="2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spans="1:36" ht="12.75" customHeight="1" x14ac:dyDescent="0.3">
      <c r="A29" s="1"/>
      <c r="B29" s="1"/>
      <c r="C29" s="29"/>
      <c r="D29" s="30"/>
      <c r="E29" s="40"/>
      <c r="F29" s="40"/>
      <c r="G29" s="32"/>
      <c r="H29" s="2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</row>
    <row r="30" spans="1:36" ht="12.75" customHeight="1" x14ac:dyDescent="0.3">
      <c r="A30" s="1"/>
      <c r="B30" s="1"/>
      <c r="C30" s="29"/>
      <c r="D30" s="30"/>
      <c r="E30" s="40"/>
      <c r="F30" s="40"/>
      <c r="G30" s="32"/>
      <c r="H30" s="2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</row>
    <row r="31" spans="1:36" ht="12.75" customHeight="1" x14ac:dyDescent="0.3">
      <c r="A31" s="1"/>
      <c r="B31" s="1"/>
      <c r="C31" s="29"/>
      <c r="D31" s="30"/>
      <c r="E31" s="40"/>
      <c r="F31" s="40"/>
      <c r="G31" s="32"/>
      <c r="H31" s="29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spans="1:36" ht="12.75" customHeight="1" x14ac:dyDescent="0.3">
      <c r="A32" s="1"/>
      <c r="B32" s="1"/>
      <c r="C32" s="29"/>
      <c r="D32" s="30"/>
      <c r="E32" s="40"/>
      <c r="F32" s="40"/>
      <c r="G32" s="32"/>
      <c r="H32" s="29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</row>
    <row r="33" spans="1:36" ht="12.75" customHeight="1" x14ac:dyDescent="0.3">
      <c r="A33" s="1"/>
      <c r="B33" s="1"/>
      <c r="C33" s="29"/>
      <c r="D33" s="30"/>
      <c r="E33" s="40"/>
      <c r="F33" s="40"/>
      <c r="G33" s="32"/>
      <c r="H33" s="29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</row>
    <row r="34" spans="1:36" ht="12.75" customHeight="1" x14ac:dyDescent="0.3">
      <c r="A34" s="1"/>
      <c r="B34" s="1"/>
      <c r="C34" s="29"/>
      <c r="D34" s="30"/>
      <c r="E34" s="40"/>
      <c r="F34" s="40"/>
      <c r="G34" s="32"/>
      <c r="H34" s="29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</row>
    <row r="35" spans="1:36" ht="12.75" customHeight="1" x14ac:dyDescent="0.3">
      <c r="A35" s="1"/>
      <c r="B35" s="1"/>
      <c r="C35" s="29"/>
      <c r="D35" s="30"/>
      <c r="E35" s="40"/>
      <c r="F35" s="40"/>
      <c r="G35" s="32"/>
      <c r="H35" s="29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spans="1:36" ht="12.75" customHeight="1" x14ac:dyDescent="0.3">
      <c r="A36" s="1"/>
      <c r="B36" s="1"/>
      <c r="C36" s="29"/>
      <c r="D36" s="30"/>
      <c r="E36" s="40"/>
      <c r="F36" s="40"/>
      <c r="G36" s="32"/>
      <c r="H36" s="29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spans="1:36" ht="12.75" customHeight="1" x14ac:dyDescent="0.3">
      <c r="A37" s="1"/>
      <c r="B37" s="1"/>
      <c r="C37" s="29"/>
      <c r="D37" s="30"/>
      <c r="E37" s="40"/>
      <c r="F37" s="40"/>
      <c r="G37" s="32"/>
      <c r="H37" s="29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spans="1:36" ht="12.75" customHeight="1" x14ac:dyDescent="0.3">
      <c r="A38" s="1"/>
      <c r="B38" s="1"/>
      <c r="C38" s="29"/>
      <c r="D38" s="30"/>
      <c r="E38" s="40"/>
      <c r="F38" s="40"/>
      <c r="G38" s="32"/>
      <c r="H38" s="29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1:36" ht="12.75" customHeight="1" x14ac:dyDescent="0.3">
      <c r="A39" s="1"/>
      <c r="B39" s="1"/>
      <c r="C39" s="29"/>
      <c r="D39" s="30"/>
      <c r="E39" s="40"/>
      <c r="F39" s="40"/>
      <c r="G39" s="32"/>
      <c r="H39" s="29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spans="1:36" ht="12.75" customHeight="1" x14ac:dyDescent="0.3">
      <c r="A40" s="1"/>
      <c r="B40" s="1"/>
      <c r="C40" s="29"/>
      <c r="D40" s="30"/>
      <c r="E40" s="40"/>
      <c r="F40" s="40"/>
      <c r="G40" s="32"/>
      <c r="H40" s="29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spans="1:36" ht="12.75" customHeight="1" x14ac:dyDescent="0.3">
      <c r="A41" s="1"/>
      <c r="B41" s="1"/>
      <c r="C41" s="29"/>
      <c r="D41" s="30"/>
      <c r="E41" s="40"/>
      <c r="F41" s="40"/>
      <c r="G41" s="32"/>
      <c r="H41" s="29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spans="1:36" ht="12.75" customHeight="1" x14ac:dyDescent="0.3">
      <c r="A42" s="1"/>
      <c r="B42" s="1"/>
      <c r="C42" s="29"/>
      <c r="D42" s="30"/>
      <c r="E42" s="40"/>
      <c r="F42" s="40"/>
      <c r="G42" s="32"/>
      <c r="H42" s="29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spans="1:36" ht="12.75" customHeight="1" x14ac:dyDescent="0.3">
      <c r="A43" s="1"/>
      <c r="B43" s="1"/>
      <c r="C43" s="29"/>
      <c r="D43" s="30"/>
      <c r="E43" s="40"/>
      <c r="F43" s="40"/>
      <c r="G43" s="32"/>
      <c r="H43" s="29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spans="1:36" ht="12.75" customHeight="1" x14ac:dyDescent="0.3">
      <c r="A44" s="1"/>
      <c r="B44" s="1"/>
      <c r="C44" s="29"/>
      <c r="D44" s="30"/>
      <c r="E44" s="40"/>
      <c r="F44" s="40"/>
      <c r="G44" s="32"/>
      <c r="H44" s="29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spans="1:36" ht="12.75" customHeight="1" x14ac:dyDescent="0.3">
      <c r="A45" s="1"/>
      <c r="B45" s="1"/>
      <c r="C45" s="29"/>
      <c r="D45" s="30"/>
      <c r="E45" s="40"/>
      <c r="F45" s="40"/>
      <c r="G45" s="32"/>
      <c r="H45" s="29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spans="1:36" ht="12.75" customHeight="1" x14ac:dyDescent="0.3">
      <c r="A46" s="1"/>
      <c r="B46" s="1"/>
      <c r="C46" s="29"/>
      <c r="D46" s="30"/>
      <c r="E46" s="40"/>
      <c r="F46" s="40"/>
      <c r="G46" s="32"/>
      <c r="H46" s="29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spans="1:36" ht="12.75" customHeight="1" x14ac:dyDescent="0.3">
      <c r="A47" s="1"/>
      <c r="B47" s="1"/>
      <c r="C47" s="29"/>
      <c r="D47" s="30"/>
      <c r="E47" s="40"/>
      <c r="F47" s="40"/>
      <c r="G47" s="32"/>
      <c r="H47" s="29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spans="1:36" ht="12.75" customHeight="1" x14ac:dyDescent="0.3">
      <c r="A48" s="1"/>
      <c r="B48" s="1"/>
      <c r="C48" s="29"/>
      <c r="D48" s="41"/>
      <c r="E48" s="40"/>
      <c r="F48" s="40"/>
      <c r="G48" s="32"/>
      <c r="H48" s="29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spans="1:36" ht="12.75" customHeight="1" x14ac:dyDescent="0.3">
      <c r="A49" s="1"/>
      <c r="B49" s="1"/>
      <c r="C49" s="29"/>
      <c r="D49" s="30"/>
      <c r="E49" s="40"/>
      <c r="F49" s="40"/>
      <c r="G49" s="32"/>
      <c r="H49" s="29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spans="1:36" ht="12.75" customHeight="1" x14ac:dyDescent="0.3">
      <c r="A50" s="1"/>
      <c r="B50" s="1"/>
      <c r="C50" s="29"/>
      <c r="D50" s="30"/>
      <c r="E50" s="40"/>
      <c r="F50" s="40"/>
      <c r="G50" s="32"/>
      <c r="H50" s="2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spans="1:36" ht="12.75" customHeight="1" x14ac:dyDescent="0.3">
      <c r="A51" s="1"/>
      <c r="B51" s="1"/>
      <c r="C51" s="29"/>
      <c r="D51" s="30"/>
      <c r="E51" s="40"/>
      <c r="F51" s="40"/>
      <c r="G51" s="32"/>
      <c r="H51" s="29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spans="1:36" ht="12.75" customHeight="1" x14ac:dyDescent="0.3">
      <c r="A52" s="1"/>
      <c r="B52" s="1"/>
      <c r="C52" s="29"/>
      <c r="D52" s="30"/>
      <c r="E52" s="40"/>
      <c r="F52" s="40"/>
      <c r="G52" s="32"/>
      <c r="H52" s="2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spans="1:36" ht="12.75" customHeight="1" x14ac:dyDescent="0.3">
      <c r="A53" s="1"/>
      <c r="B53" s="1"/>
      <c r="C53" s="29"/>
      <c r="D53" s="30"/>
      <c r="E53" s="40"/>
      <c r="F53" s="40"/>
      <c r="G53" s="32"/>
      <c r="H53" s="29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spans="1:36" ht="12.75" customHeight="1" x14ac:dyDescent="0.3">
      <c r="A54" s="1"/>
      <c r="B54" s="1"/>
      <c r="C54" s="29"/>
      <c r="D54" s="30"/>
      <c r="E54" s="40"/>
      <c r="F54" s="40"/>
      <c r="G54" s="32"/>
      <c r="H54" s="29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spans="1:36" ht="12.75" customHeight="1" x14ac:dyDescent="0.3">
      <c r="A55" s="1"/>
      <c r="B55" s="1"/>
      <c r="C55" s="29"/>
      <c r="D55" s="30"/>
      <c r="E55" s="40"/>
      <c r="F55" s="40"/>
      <c r="G55" s="32"/>
      <c r="H55" s="29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36" ht="12.75" customHeight="1" x14ac:dyDescent="0.3">
      <c r="A56" s="1"/>
      <c r="B56" s="1"/>
      <c r="C56" s="29"/>
      <c r="D56" s="30"/>
      <c r="E56" s="40"/>
      <c r="F56" s="40"/>
      <c r="G56" s="32"/>
      <c r="H56" s="2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spans="1:36" ht="12.75" customHeight="1" x14ac:dyDescent="0.3">
      <c r="A57" s="1"/>
      <c r="B57" s="1"/>
      <c r="C57" s="29"/>
      <c r="D57" s="30"/>
      <c r="E57" s="40"/>
      <c r="F57" s="40"/>
      <c r="G57" s="32"/>
      <c r="H57" s="29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spans="1:36" ht="12.75" customHeight="1" x14ac:dyDescent="0.3">
      <c r="A58" s="1"/>
      <c r="B58" s="1"/>
      <c r="C58" s="29"/>
      <c r="D58" s="30"/>
      <c r="E58" s="40"/>
      <c r="F58" s="40"/>
      <c r="G58" s="32"/>
      <c r="H58" s="29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spans="1:36" ht="12.75" customHeight="1" x14ac:dyDescent="0.3">
      <c r="A59" s="1"/>
      <c r="B59" s="1"/>
      <c r="C59" s="29"/>
      <c r="D59" s="30"/>
      <c r="E59" s="40"/>
      <c r="F59" s="40"/>
      <c r="G59" s="32"/>
      <c r="H59" s="29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spans="1:36" ht="12.75" customHeight="1" x14ac:dyDescent="0.3">
      <c r="A60" s="1"/>
      <c r="B60" s="1"/>
      <c r="C60" s="29"/>
      <c r="D60" s="30"/>
      <c r="E60" s="40"/>
      <c r="F60" s="40"/>
      <c r="G60" s="32"/>
      <c r="H60" s="29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spans="1:36" ht="12.75" customHeight="1" x14ac:dyDescent="0.3">
      <c r="A61" s="1"/>
      <c r="B61" s="1"/>
      <c r="C61" s="29"/>
      <c r="D61" s="30"/>
      <c r="E61" s="40"/>
      <c r="F61" s="40"/>
      <c r="G61" s="32"/>
      <c r="H61" s="29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spans="1:36" ht="12.75" customHeight="1" x14ac:dyDescent="0.3">
      <c r="A62" s="1"/>
      <c r="B62" s="1"/>
      <c r="C62" s="29"/>
      <c r="D62" s="30"/>
      <c r="E62" s="40"/>
      <c r="F62" s="40"/>
      <c r="G62" s="32"/>
      <c r="H62" s="29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 spans="1:36" ht="12.75" customHeight="1" x14ac:dyDescent="0.3">
      <c r="A63" s="1"/>
      <c r="B63" s="1"/>
      <c r="C63" s="29"/>
      <c r="D63" s="30"/>
      <c r="E63" s="40"/>
      <c r="F63" s="40"/>
      <c r="G63" s="32"/>
      <c r="H63" s="29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12.75" customHeight="1" x14ac:dyDescent="0.3">
      <c r="A64" s="1"/>
      <c r="B64" s="1"/>
      <c r="C64" s="29"/>
      <c r="D64" s="30"/>
      <c r="E64" s="40"/>
      <c r="F64" s="40"/>
      <c r="G64" s="32"/>
      <c r="H64" s="29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spans="1:36" ht="12.75" customHeight="1" x14ac:dyDescent="0.3">
      <c r="A65" s="1"/>
      <c r="B65" s="1"/>
      <c r="C65" s="29"/>
      <c r="D65" s="30"/>
      <c r="E65" s="40"/>
      <c r="F65" s="40"/>
      <c r="G65" s="32"/>
      <c r="H65" s="29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spans="1:36" ht="12.75" customHeight="1" x14ac:dyDescent="0.3">
      <c r="A66" s="1"/>
      <c r="B66" s="1"/>
      <c r="C66" s="29"/>
      <c r="D66" s="30"/>
      <c r="E66" s="40"/>
      <c r="F66" s="40"/>
      <c r="G66" s="32"/>
      <c r="H66" s="29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 spans="1:36" ht="12.75" customHeight="1" x14ac:dyDescent="0.3">
      <c r="A67" s="1"/>
      <c r="B67" s="1"/>
      <c r="C67" s="29"/>
      <c r="D67" s="30"/>
      <c r="E67" s="40"/>
      <c r="F67" s="40"/>
      <c r="G67" s="32"/>
      <c r="H67" s="29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spans="1:36" ht="12.75" customHeight="1" x14ac:dyDescent="0.3">
      <c r="A68" s="1"/>
      <c r="B68" s="1"/>
      <c r="C68" s="29"/>
      <c r="D68" s="30"/>
      <c r="E68" s="40"/>
      <c r="F68" s="40"/>
      <c r="G68" s="32"/>
      <c r="H68" s="29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spans="1:36" ht="12.75" customHeight="1" x14ac:dyDescent="0.3">
      <c r="A69" s="1"/>
      <c r="B69" s="1"/>
      <c r="C69" s="29"/>
      <c r="D69" s="30"/>
      <c r="E69" s="40"/>
      <c r="F69" s="40"/>
      <c r="G69" s="32"/>
      <c r="H69" s="29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spans="1:36" ht="12.75" customHeight="1" x14ac:dyDescent="0.3">
      <c r="A70" s="1"/>
      <c r="B70" s="1"/>
      <c r="C70" s="29"/>
      <c r="D70" s="30"/>
      <c r="E70" s="40"/>
      <c r="F70" s="40"/>
      <c r="G70" s="32"/>
      <c r="H70" s="29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1:36" ht="12.75" customHeight="1" x14ac:dyDescent="0.3">
      <c r="A71" s="1"/>
      <c r="B71" s="1"/>
      <c r="C71" s="29"/>
      <c r="D71" s="30"/>
      <c r="E71" s="40"/>
      <c r="F71" s="40"/>
      <c r="G71" s="32"/>
      <c r="H71" s="29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1:36" ht="12.75" customHeight="1" x14ac:dyDescent="0.3">
      <c r="A72" s="1"/>
      <c r="B72" s="1"/>
      <c r="C72" s="29"/>
      <c r="D72" s="30"/>
      <c r="E72" s="40"/>
      <c r="F72" s="40"/>
      <c r="G72" s="32"/>
      <c r="H72" s="29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spans="1:36" ht="12.75" customHeight="1" x14ac:dyDescent="0.3">
      <c r="A73" s="1"/>
      <c r="B73" s="1"/>
      <c r="C73" s="29"/>
      <c r="D73" s="30"/>
      <c r="E73" s="40"/>
      <c r="F73" s="40"/>
      <c r="G73" s="32"/>
      <c r="H73" s="29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 spans="1:36" ht="12.75" customHeight="1" x14ac:dyDescent="0.3">
      <c r="A74" s="1"/>
      <c r="B74" s="1"/>
      <c r="C74" s="29"/>
      <c r="D74" s="30"/>
      <c r="E74" s="40"/>
      <c r="F74" s="40"/>
      <c r="G74" s="32"/>
      <c r="H74" s="29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 spans="1:36" ht="12.75" customHeight="1" x14ac:dyDescent="0.3">
      <c r="A75" s="1"/>
      <c r="B75" s="1"/>
      <c r="C75" s="29"/>
      <c r="D75" s="30"/>
      <c r="E75" s="40"/>
      <c r="F75" s="40"/>
      <c r="G75" s="32"/>
      <c r="H75" s="29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</row>
    <row r="76" spans="1:36" ht="12.75" customHeight="1" x14ac:dyDescent="0.3">
      <c r="A76" s="1"/>
      <c r="B76" s="1"/>
      <c r="C76" s="29"/>
      <c r="D76" s="30"/>
      <c r="E76" s="40"/>
      <c r="F76" s="40"/>
      <c r="G76" s="32"/>
      <c r="H76" s="29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</row>
    <row r="77" spans="1:36" ht="12.75" customHeight="1" x14ac:dyDescent="0.3">
      <c r="A77" s="1"/>
      <c r="B77" s="1"/>
      <c r="C77" s="29"/>
      <c r="D77" s="30"/>
      <c r="E77" s="40"/>
      <c r="F77" s="40"/>
      <c r="G77" s="32"/>
      <c r="H77" s="29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 spans="1:36" ht="12.75" customHeight="1" x14ac:dyDescent="0.3">
      <c r="A78" s="1"/>
      <c r="B78" s="1"/>
      <c r="C78" s="29"/>
      <c r="D78" s="30"/>
      <c r="E78" s="40"/>
      <c r="F78" s="40"/>
      <c r="G78" s="32"/>
      <c r="H78" s="29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</row>
    <row r="79" spans="1:36" ht="12.75" customHeight="1" x14ac:dyDescent="0.3">
      <c r="A79" s="1"/>
      <c r="B79" s="1"/>
      <c r="C79" s="29"/>
      <c r="D79" s="30"/>
      <c r="E79" s="40"/>
      <c r="F79" s="40"/>
      <c r="G79" s="32"/>
      <c r="H79" s="29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</row>
    <row r="80" spans="1:36" ht="12.75" customHeight="1" x14ac:dyDescent="0.3">
      <c r="A80" s="1"/>
      <c r="B80" s="1"/>
      <c r="C80" s="29"/>
      <c r="D80" s="30"/>
      <c r="E80" s="40"/>
      <c r="F80" s="40"/>
      <c r="G80" s="32"/>
      <c r="H80" s="29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spans="1:36" ht="12.75" customHeight="1" x14ac:dyDescent="0.3">
      <c r="A81" s="1"/>
      <c r="B81" s="1"/>
      <c r="C81" s="29"/>
      <c r="D81" s="30"/>
      <c r="E81" s="40"/>
      <c r="F81" s="40"/>
      <c r="G81" s="32"/>
      <c r="H81" s="29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 spans="1:36" ht="12.75" customHeight="1" x14ac:dyDescent="0.3">
      <c r="A82" s="1"/>
      <c r="B82" s="1"/>
      <c r="C82" s="29"/>
      <c r="D82" s="30"/>
      <c r="E82" s="40"/>
      <c r="F82" s="40"/>
      <c r="G82" s="32"/>
      <c r="H82" s="29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spans="1:36" ht="12.75" customHeight="1" x14ac:dyDescent="0.3">
      <c r="A83" s="1"/>
      <c r="B83" s="1"/>
      <c r="C83" s="29"/>
      <c r="D83" s="30"/>
      <c r="E83" s="40"/>
      <c r="F83" s="40"/>
      <c r="G83" s="32"/>
      <c r="H83" s="29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</row>
    <row r="84" spans="1:36" ht="12.75" customHeight="1" x14ac:dyDescent="0.3">
      <c r="A84" s="1"/>
      <c r="B84" s="1"/>
      <c r="C84" s="29"/>
      <c r="D84" s="30"/>
      <c r="E84" s="40"/>
      <c r="F84" s="40"/>
      <c r="G84" s="32"/>
      <c r="H84" s="29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</row>
    <row r="85" spans="1:36" ht="12.75" customHeight="1" x14ac:dyDescent="0.3">
      <c r="A85" s="1"/>
      <c r="B85" s="1"/>
      <c r="C85" s="29"/>
      <c r="D85" s="30"/>
      <c r="E85" s="40"/>
      <c r="F85" s="40"/>
      <c r="G85" s="32"/>
      <c r="H85" s="29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spans="1:36" ht="12.75" customHeight="1" x14ac:dyDescent="0.3">
      <c r="A86" s="1"/>
      <c r="B86" s="1"/>
      <c r="C86" s="29"/>
      <c r="D86" s="30"/>
      <c r="E86" s="40"/>
      <c r="F86" s="40"/>
      <c r="G86" s="32"/>
      <c r="H86" s="29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 spans="1:36" ht="12.75" customHeight="1" x14ac:dyDescent="0.3">
      <c r="A87" s="1"/>
      <c r="B87" s="1"/>
      <c r="C87" s="29"/>
      <c r="D87" s="30"/>
      <c r="E87" s="40"/>
      <c r="F87" s="40"/>
      <c r="G87" s="32"/>
      <c r="H87" s="29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spans="1:36" ht="12.75" customHeight="1" x14ac:dyDescent="0.3">
      <c r="A88" s="1"/>
      <c r="B88" s="1"/>
      <c r="C88" s="29"/>
      <c r="D88" s="30"/>
      <c r="E88" s="40"/>
      <c r="F88" s="40"/>
      <c r="G88" s="32"/>
      <c r="H88" s="29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 spans="1:36" ht="12.75" customHeight="1" x14ac:dyDescent="0.3">
      <c r="A89" s="1"/>
      <c r="B89" s="1"/>
      <c r="C89" s="29"/>
      <c r="D89" s="30"/>
      <c r="E89" s="40"/>
      <c r="F89" s="40"/>
      <c r="G89" s="32"/>
      <c r="H89" s="29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</row>
    <row r="90" spans="1:36" ht="12.75" customHeight="1" x14ac:dyDescent="0.3">
      <c r="A90" s="1"/>
      <c r="B90" s="1"/>
      <c r="C90" s="29"/>
      <c r="D90" s="30"/>
      <c r="E90" s="40"/>
      <c r="F90" s="40"/>
      <c r="G90" s="32"/>
      <c r="H90" s="29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</row>
    <row r="91" spans="1:36" ht="12.75" customHeight="1" x14ac:dyDescent="0.3">
      <c r="A91" s="1"/>
      <c r="B91" s="1"/>
      <c r="C91" s="29"/>
      <c r="D91" s="30"/>
      <c r="E91" s="40"/>
      <c r="F91" s="40"/>
      <c r="G91" s="32"/>
      <c r="H91" s="29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spans="1:36" ht="12.75" customHeight="1" x14ac:dyDescent="0.3">
      <c r="A92" s="1"/>
      <c r="B92" s="1"/>
      <c r="C92" s="29"/>
      <c r="D92" s="30"/>
      <c r="E92" s="40"/>
      <c r="F92" s="40"/>
      <c r="G92" s="32"/>
      <c r="H92" s="29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spans="1:36" ht="12.75" customHeight="1" x14ac:dyDescent="0.3">
      <c r="A93" s="1"/>
      <c r="B93" s="1"/>
      <c r="C93" s="29"/>
      <c r="D93" s="30"/>
      <c r="E93" s="40"/>
      <c r="F93" s="40"/>
      <c r="G93" s="32"/>
      <c r="H93" s="29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 spans="1:36" ht="12.75" customHeight="1" x14ac:dyDescent="0.3">
      <c r="A94" s="1"/>
      <c r="B94" s="1"/>
      <c r="C94" s="29"/>
      <c r="D94" s="30"/>
      <c r="E94" s="40"/>
      <c r="F94" s="40"/>
      <c r="G94" s="32"/>
      <c r="H94" s="29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ht="12.75" customHeight="1" x14ac:dyDescent="0.3">
      <c r="A95" s="1"/>
      <c r="B95" s="1"/>
      <c r="C95" s="29"/>
      <c r="D95" s="30"/>
      <c r="E95" s="40"/>
      <c r="F95" s="40"/>
      <c r="G95" s="32"/>
      <c r="H95" s="29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ht="12.75" customHeight="1" x14ac:dyDescent="0.3">
      <c r="A96" s="1"/>
      <c r="B96" s="1"/>
      <c r="C96" s="29"/>
      <c r="D96" s="30"/>
      <c r="E96" s="40"/>
      <c r="F96" s="40"/>
      <c r="G96" s="32"/>
      <c r="H96" s="29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ht="12.75" customHeight="1" x14ac:dyDescent="0.3">
      <c r="A97" s="1"/>
      <c r="B97" s="1"/>
      <c r="C97" s="29"/>
      <c r="D97" s="30"/>
      <c r="E97" s="40"/>
      <c r="F97" s="40"/>
      <c r="G97" s="32"/>
      <c r="H97" s="29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spans="1:36" ht="12.75" customHeight="1" x14ac:dyDescent="0.3">
      <c r="A98" s="1"/>
      <c r="B98" s="1"/>
      <c r="C98" s="29"/>
      <c r="D98" s="30"/>
      <c r="E98" s="40"/>
      <c r="F98" s="40"/>
      <c r="G98" s="32"/>
      <c r="H98" s="29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spans="1:36" ht="12.75" customHeight="1" x14ac:dyDescent="0.3">
      <c r="A99" s="1"/>
      <c r="B99" s="1"/>
      <c r="C99" s="29"/>
      <c r="D99" s="30"/>
      <c r="E99" s="40"/>
      <c r="F99" s="40"/>
      <c r="G99" s="32"/>
      <c r="H99" s="29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 spans="1:36" ht="12.75" customHeight="1" x14ac:dyDescent="0.3">
      <c r="A100" s="1"/>
      <c r="B100" s="1"/>
      <c r="C100" s="29"/>
      <c r="D100" s="30"/>
      <c r="E100" s="40"/>
      <c r="F100" s="40"/>
      <c r="G100" s="32"/>
      <c r="H100" s="29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 spans="1:36" ht="12.75" customHeight="1" x14ac:dyDescent="0.3">
      <c r="A101" s="1"/>
      <c r="B101" s="1"/>
      <c r="C101" s="29"/>
      <c r="D101" s="30"/>
      <c r="E101" s="40"/>
      <c r="F101" s="40"/>
      <c r="G101" s="32"/>
      <c r="H101" s="29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 spans="1:36" ht="12.75" customHeight="1" x14ac:dyDescent="0.3">
      <c r="A102" s="1"/>
      <c r="B102" s="1"/>
      <c r="C102" s="29"/>
      <c r="D102" s="30"/>
      <c r="E102" s="40"/>
      <c r="F102" s="40"/>
      <c r="G102" s="32"/>
      <c r="H102" s="29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 spans="1:36" ht="12.75" customHeight="1" x14ac:dyDescent="0.3">
      <c r="A103" s="1"/>
      <c r="B103" s="1"/>
      <c r="C103" s="29"/>
      <c r="D103" s="30"/>
      <c r="E103" s="40"/>
      <c r="F103" s="40"/>
      <c r="G103" s="32"/>
      <c r="H103" s="29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 spans="1:36" ht="12.75" customHeight="1" x14ac:dyDescent="0.3">
      <c r="A104" s="1"/>
      <c r="B104" s="1"/>
      <c r="C104" s="29"/>
      <c r="D104" s="30"/>
      <c r="E104" s="40"/>
      <c r="F104" s="40"/>
      <c r="G104" s="32"/>
      <c r="H104" s="29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 spans="1:36" ht="12.75" customHeight="1" x14ac:dyDescent="0.3">
      <c r="A105" s="1"/>
      <c r="B105" s="1"/>
      <c r="C105" s="29"/>
      <c r="D105" s="30"/>
      <c r="E105" s="40"/>
      <c r="F105" s="40"/>
      <c r="G105" s="32"/>
      <c r="H105" s="29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 spans="1:36" ht="12.75" customHeight="1" x14ac:dyDescent="0.3">
      <c r="A106" s="1"/>
      <c r="B106" s="1"/>
      <c r="C106" s="29"/>
      <c r="D106" s="30"/>
      <c r="E106" s="40"/>
      <c r="F106" s="40"/>
      <c r="G106" s="32"/>
      <c r="H106" s="29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spans="1:36" ht="12.75" customHeight="1" x14ac:dyDescent="0.3">
      <c r="A107" s="1"/>
      <c r="B107" s="1"/>
      <c r="C107" s="29"/>
      <c r="D107" s="30"/>
      <c r="E107" s="40"/>
      <c r="F107" s="40"/>
      <c r="G107" s="32"/>
      <c r="H107" s="29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spans="1:36" ht="12.75" customHeight="1" x14ac:dyDescent="0.3">
      <c r="A108" s="1"/>
      <c r="B108" s="1"/>
      <c r="C108" s="29"/>
      <c r="D108" s="30"/>
      <c r="E108" s="40"/>
      <c r="F108" s="40"/>
      <c r="G108" s="32"/>
      <c r="H108" s="29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spans="1:36" ht="12.75" customHeight="1" x14ac:dyDescent="0.3">
      <c r="A109" s="1"/>
      <c r="B109" s="1"/>
      <c r="C109" s="29"/>
      <c r="D109" s="30"/>
      <c r="E109" s="40"/>
      <c r="F109" s="40"/>
      <c r="G109" s="32"/>
      <c r="H109" s="29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spans="1:36" ht="12.75" customHeight="1" x14ac:dyDescent="0.3">
      <c r="A110" s="1"/>
      <c r="B110" s="1"/>
      <c r="C110" s="29"/>
      <c r="D110" s="30"/>
      <c r="E110" s="40"/>
      <c r="F110" s="40"/>
      <c r="G110" s="32"/>
      <c r="H110" s="29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spans="1:36" ht="12.75" customHeight="1" x14ac:dyDescent="0.3">
      <c r="A111" s="1"/>
      <c r="B111" s="1"/>
      <c r="C111" s="29"/>
      <c r="D111" s="30"/>
      <c r="E111" s="40"/>
      <c r="F111" s="40"/>
      <c r="G111" s="32"/>
      <c r="H111" s="29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spans="1:36" ht="12.75" customHeight="1" x14ac:dyDescent="0.3">
      <c r="A112" s="1"/>
      <c r="B112" s="1"/>
      <c r="C112" s="29"/>
      <c r="D112" s="30"/>
      <c r="E112" s="40"/>
      <c r="F112" s="40"/>
      <c r="G112" s="32"/>
      <c r="H112" s="29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spans="1:36" ht="12.75" customHeight="1" x14ac:dyDescent="0.3">
      <c r="A113" s="1"/>
      <c r="B113" s="1"/>
      <c r="C113" s="29"/>
      <c r="D113" s="30"/>
      <c r="E113" s="40"/>
      <c r="F113" s="40"/>
      <c r="G113" s="32"/>
      <c r="H113" s="29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spans="1:36" ht="12.75" customHeight="1" x14ac:dyDescent="0.3">
      <c r="A114" s="1"/>
      <c r="B114" s="1"/>
      <c r="C114" s="29"/>
      <c r="D114" s="30"/>
      <c r="E114" s="40"/>
      <c r="F114" s="40"/>
      <c r="G114" s="32"/>
      <c r="H114" s="29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spans="1:36" ht="12.75" customHeight="1" x14ac:dyDescent="0.3">
      <c r="A115" s="1"/>
      <c r="B115" s="1"/>
      <c r="C115" s="29"/>
      <c r="D115" s="30"/>
      <c r="E115" s="40"/>
      <c r="F115" s="40"/>
      <c r="G115" s="32"/>
      <c r="H115" s="29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spans="1:36" ht="12.75" customHeight="1" x14ac:dyDescent="0.3">
      <c r="A116" s="1"/>
      <c r="B116" s="1"/>
      <c r="C116" s="29"/>
      <c r="D116" s="30"/>
      <c r="E116" s="40"/>
      <c r="F116" s="40"/>
      <c r="G116" s="32"/>
      <c r="H116" s="29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spans="1:36" ht="12.75" customHeight="1" x14ac:dyDescent="0.3">
      <c r="A117" s="1"/>
      <c r="B117" s="1"/>
      <c r="C117" s="29"/>
      <c r="D117" s="30"/>
      <c r="E117" s="40"/>
      <c r="F117" s="40"/>
      <c r="G117" s="32"/>
      <c r="H117" s="29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spans="1:36" ht="12.75" customHeight="1" x14ac:dyDescent="0.3">
      <c r="A118" s="1"/>
      <c r="B118" s="1"/>
      <c r="C118" s="29"/>
      <c r="D118" s="30"/>
      <c r="E118" s="40"/>
      <c r="F118" s="40"/>
      <c r="G118" s="32"/>
      <c r="H118" s="29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spans="1:36" ht="12.75" customHeight="1" x14ac:dyDescent="0.3">
      <c r="A119" s="1"/>
      <c r="B119" s="1"/>
      <c r="C119" s="29"/>
      <c r="D119" s="30"/>
      <c r="E119" s="40"/>
      <c r="F119" s="40"/>
      <c r="G119" s="32"/>
      <c r="H119" s="29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spans="1:36" ht="12.75" customHeight="1" x14ac:dyDescent="0.3">
      <c r="A120" s="1"/>
      <c r="B120" s="1"/>
      <c r="C120" s="29"/>
      <c r="D120" s="30"/>
      <c r="E120" s="40"/>
      <c r="F120" s="40"/>
      <c r="G120" s="32"/>
      <c r="H120" s="29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spans="1:36" ht="12.75" customHeight="1" x14ac:dyDescent="0.3">
      <c r="A121" s="1"/>
      <c r="B121" s="1"/>
      <c r="C121" s="29"/>
      <c r="D121" s="30"/>
      <c r="E121" s="40"/>
      <c r="F121" s="40"/>
      <c r="G121" s="32"/>
      <c r="H121" s="29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spans="1:36" ht="12.75" customHeight="1" x14ac:dyDescent="0.3">
      <c r="A122" s="1"/>
      <c r="B122" s="1"/>
      <c r="C122" s="29"/>
      <c r="D122" s="30"/>
      <c r="E122" s="40"/>
      <c r="F122" s="40"/>
      <c r="G122" s="32"/>
      <c r="H122" s="29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spans="1:36" ht="12.75" customHeight="1" x14ac:dyDescent="0.3">
      <c r="A123" s="1"/>
      <c r="B123" s="1"/>
      <c r="C123" s="29"/>
      <c r="D123" s="30"/>
      <c r="E123" s="40"/>
      <c r="F123" s="40"/>
      <c r="G123" s="32"/>
      <c r="H123" s="29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spans="1:36" ht="12.75" customHeight="1" x14ac:dyDescent="0.3">
      <c r="A124" s="1"/>
      <c r="B124" s="1"/>
      <c r="C124" s="29"/>
      <c r="D124" s="30"/>
      <c r="E124" s="40"/>
      <c r="F124" s="40"/>
      <c r="G124" s="32"/>
      <c r="H124" s="29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spans="1:36" ht="12.75" customHeight="1" x14ac:dyDescent="0.3">
      <c r="A125" s="1"/>
      <c r="B125" s="1"/>
      <c r="C125" s="29"/>
      <c r="D125" s="30"/>
      <c r="E125" s="40"/>
      <c r="F125" s="40"/>
      <c r="G125" s="32"/>
      <c r="H125" s="29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spans="1:36" ht="12.75" customHeight="1" x14ac:dyDescent="0.3">
      <c r="A126" s="1"/>
      <c r="B126" s="1"/>
      <c r="C126" s="29"/>
      <c r="D126" s="30"/>
      <c r="E126" s="40"/>
      <c r="F126" s="40"/>
      <c r="G126" s="32"/>
      <c r="H126" s="29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spans="1:36" ht="12.75" customHeight="1" x14ac:dyDescent="0.3">
      <c r="A127" s="1"/>
      <c r="B127" s="1"/>
      <c r="C127" s="29"/>
      <c r="D127" s="30"/>
      <c r="E127" s="40"/>
      <c r="F127" s="40"/>
      <c r="G127" s="32"/>
      <c r="H127" s="29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spans="1:36" ht="12.75" customHeight="1" x14ac:dyDescent="0.3">
      <c r="A128" s="1"/>
      <c r="B128" s="1"/>
      <c r="C128" s="29"/>
      <c r="D128" s="30"/>
      <c r="E128" s="40"/>
      <c r="F128" s="40"/>
      <c r="G128" s="32"/>
      <c r="H128" s="29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spans="1:36" ht="12.75" customHeight="1" x14ac:dyDescent="0.3">
      <c r="A129" s="1"/>
      <c r="B129" s="1"/>
      <c r="C129" s="29"/>
      <c r="D129" s="30"/>
      <c r="E129" s="40"/>
      <c r="F129" s="40"/>
      <c r="G129" s="32"/>
      <c r="H129" s="29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spans="1:36" ht="12.75" customHeight="1" x14ac:dyDescent="0.3">
      <c r="A130" s="1"/>
      <c r="B130" s="1"/>
      <c r="C130" s="29"/>
      <c r="D130" s="30"/>
      <c r="E130" s="40"/>
      <c r="F130" s="40"/>
      <c r="G130" s="32"/>
      <c r="H130" s="29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spans="1:36" ht="12.75" customHeight="1" x14ac:dyDescent="0.3">
      <c r="A131" s="1"/>
      <c r="B131" s="1"/>
      <c r="C131" s="29"/>
      <c r="D131" s="30"/>
      <c r="E131" s="40"/>
      <c r="F131" s="40"/>
      <c r="G131" s="32"/>
      <c r="H131" s="29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spans="1:36" ht="12.75" customHeight="1" x14ac:dyDescent="0.3">
      <c r="A132" s="1"/>
      <c r="B132" s="1"/>
      <c r="C132" s="29"/>
      <c r="D132" s="30"/>
      <c r="E132" s="40"/>
      <c r="F132" s="40"/>
      <c r="G132" s="32"/>
      <c r="H132" s="29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spans="1:36" ht="12.75" customHeight="1" x14ac:dyDescent="0.3">
      <c r="A133" s="1"/>
      <c r="B133" s="1"/>
      <c r="C133" s="29"/>
      <c r="D133" s="30"/>
      <c r="E133" s="40"/>
      <c r="F133" s="40"/>
      <c r="G133" s="32"/>
      <c r="H133" s="29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spans="1:36" ht="12.75" customHeight="1" x14ac:dyDescent="0.3">
      <c r="A134" s="1"/>
      <c r="B134" s="1"/>
      <c r="C134" s="29"/>
      <c r="D134" s="30"/>
      <c r="E134" s="40"/>
      <c r="F134" s="40"/>
      <c r="G134" s="32"/>
      <c r="H134" s="29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spans="1:36" ht="12.75" customHeight="1" x14ac:dyDescent="0.3">
      <c r="A135" s="1"/>
      <c r="B135" s="1"/>
      <c r="C135" s="29"/>
      <c r="D135" s="30"/>
      <c r="E135" s="40"/>
      <c r="F135" s="40"/>
      <c r="G135" s="32"/>
      <c r="H135" s="29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spans="1:36" ht="12.75" customHeight="1" x14ac:dyDescent="0.3">
      <c r="A136" s="1"/>
      <c r="B136" s="1"/>
      <c r="C136" s="29"/>
      <c r="D136" s="30"/>
      <c r="E136" s="40"/>
      <c r="F136" s="40"/>
      <c r="G136" s="32"/>
      <c r="H136" s="29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spans="1:36" ht="12.75" customHeight="1" x14ac:dyDescent="0.3">
      <c r="A137" s="1"/>
      <c r="B137" s="1"/>
      <c r="C137" s="29"/>
      <c r="D137" s="30"/>
      <c r="E137" s="40"/>
      <c r="F137" s="40"/>
      <c r="G137" s="32"/>
      <c r="H137" s="29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spans="1:36" ht="12.75" customHeight="1" x14ac:dyDescent="0.3">
      <c r="A138" s="1"/>
      <c r="B138" s="1"/>
      <c r="C138" s="29"/>
      <c r="D138" s="30"/>
      <c r="E138" s="40"/>
      <c r="F138" s="40"/>
      <c r="G138" s="32"/>
      <c r="H138" s="29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spans="1:36" ht="12.75" customHeight="1" x14ac:dyDescent="0.3">
      <c r="A139" s="1"/>
      <c r="B139" s="1"/>
      <c r="C139" s="29"/>
      <c r="D139" s="30"/>
      <c r="E139" s="40"/>
      <c r="F139" s="40"/>
      <c r="G139" s="32"/>
      <c r="H139" s="29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spans="1:36" ht="12.75" customHeight="1" x14ac:dyDescent="0.3">
      <c r="A140" s="1"/>
      <c r="B140" s="1"/>
      <c r="C140" s="29"/>
      <c r="D140" s="30"/>
      <c r="E140" s="40"/>
      <c r="F140" s="40"/>
      <c r="G140" s="32"/>
      <c r="H140" s="29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spans="1:36" ht="12.75" customHeight="1" x14ac:dyDescent="0.3">
      <c r="A141" s="1"/>
      <c r="B141" s="1"/>
      <c r="C141" s="29"/>
      <c r="D141" s="30"/>
      <c r="E141" s="40"/>
      <c r="F141" s="40"/>
      <c r="G141" s="32"/>
      <c r="H141" s="29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spans="1:36" ht="12.75" customHeight="1" x14ac:dyDescent="0.3">
      <c r="A142" s="1"/>
      <c r="B142" s="1"/>
      <c r="C142" s="29"/>
      <c r="D142" s="30"/>
      <c r="E142" s="40"/>
      <c r="F142" s="40"/>
      <c r="G142" s="32"/>
      <c r="H142" s="29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spans="1:36" ht="12.75" customHeight="1" x14ac:dyDescent="0.3">
      <c r="A143" s="1"/>
      <c r="B143" s="1"/>
      <c r="C143" s="29"/>
      <c r="D143" s="30"/>
      <c r="E143" s="40"/>
      <c r="F143" s="40"/>
      <c r="G143" s="32"/>
      <c r="H143" s="29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spans="1:36" ht="12.75" customHeight="1" x14ac:dyDescent="0.3">
      <c r="A144" s="1"/>
      <c r="B144" s="1"/>
      <c r="C144" s="29"/>
      <c r="D144" s="30"/>
      <c r="E144" s="40"/>
      <c r="F144" s="40"/>
      <c r="G144" s="32"/>
      <c r="H144" s="29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spans="1:36" ht="12.75" customHeight="1" x14ac:dyDescent="0.3">
      <c r="A145" s="1"/>
      <c r="B145" s="1"/>
      <c r="C145" s="29"/>
      <c r="D145" s="30"/>
      <c r="E145" s="40"/>
      <c r="F145" s="40"/>
      <c r="G145" s="32"/>
      <c r="H145" s="29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spans="1:36" ht="12.75" customHeight="1" x14ac:dyDescent="0.3">
      <c r="A146" s="1"/>
      <c r="B146" s="1"/>
      <c r="C146" s="29"/>
      <c r="D146" s="30"/>
      <c r="E146" s="40"/>
      <c r="F146" s="40"/>
      <c r="G146" s="32"/>
      <c r="H146" s="29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spans="1:36" ht="12.75" customHeight="1" x14ac:dyDescent="0.3">
      <c r="A147" s="1"/>
      <c r="B147" s="1"/>
      <c r="C147" s="29"/>
      <c r="D147" s="30"/>
      <c r="E147" s="40"/>
      <c r="F147" s="40"/>
      <c r="G147" s="32"/>
      <c r="H147" s="29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spans="1:36" ht="12.75" customHeight="1" x14ac:dyDescent="0.3">
      <c r="A148" s="1"/>
      <c r="B148" s="1"/>
      <c r="C148" s="29"/>
      <c r="D148" s="30"/>
      <c r="E148" s="40"/>
      <c r="F148" s="40"/>
      <c r="G148" s="32"/>
      <c r="H148" s="29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spans="1:36" ht="12.75" customHeight="1" x14ac:dyDescent="0.3">
      <c r="A149" s="1"/>
      <c r="B149" s="1"/>
      <c r="C149" s="29"/>
      <c r="D149" s="30"/>
      <c r="E149" s="40"/>
      <c r="F149" s="40"/>
      <c r="G149" s="32"/>
      <c r="H149" s="29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spans="1:36" ht="12.75" customHeight="1" x14ac:dyDescent="0.3">
      <c r="A150" s="1"/>
      <c r="B150" s="1"/>
      <c r="C150" s="29"/>
      <c r="D150" s="30"/>
      <c r="E150" s="40"/>
      <c r="F150" s="40"/>
      <c r="G150" s="32"/>
      <c r="H150" s="29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spans="1:36" ht="12.75" customHeight="1" x14ac:dyDescent="0.3">
      <c r="A151" s="1"/>
      <c r="B151" s="1"/>
      <c r="C151" s="29"/>
      <c r="D151" s="30"/>
      <c r="E151" s="40"/>
      <c r="F151" s="40"/>
      <c r="G151" s="32"/>
      <c r="H151" s="29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spans="1:36" ht="12.75" customHeight="1" x14ac:dyDescent="0.3">
      <c r="A152" s="1"/>
      <c r="B152" s="1"/>
      <c r="C152" s="29"/>
      <c r="D152" s="30"/>
      <c r="E152" s="40"/>
      <c r="F152" s="40"/>
      <c r="G152" s="32"/>
      <c r="H152" s="29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spans="1:36" ht="12.75" customHeight="1" x14ac:dyDescent="0.3">
      <c r="A153" s="1"/>
      <c r="B153" s="1"/>
      <c r="C153" s="29"/>
      <c r="D153" s="30"/>
      <c r="E153" s="40"/>
      <c r="F153" s="40"/>
      <c r="G153" s="32"/>
      <c r="H153" s="29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spans="1:36" ht="12.75" customHeight="1" x14ac:dyDescent="0.3">
      <c r="A154" s="1"/>
      <c r="B154" s="1"/>
      <c r="C154" s="29"/>
      <c r="D154" s="30"/>
      <c r="E154" s="40"/>
      <c r="F154" s="40"/>
      <c r="G154" s="32"/>
      <c r="H154" s="29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spans="1:36" ht="12.75" customHeight="1" x14ac:dyDescent="0.3">
      <c r="A155" s="1"/>
      <c r="B155" s="1"/>
      <c r="C155" s="29"/>
      <c r="D155" s="30"/>
      <c r="E155" s="40"/>
      <c r="F155" s="40"/>
      <c r="G155" s="32"/>
      <c r="H155" s="29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spans="1:36" ht="12.75" customHeight="1" x14ac:dyDescent="0.3">
      <c r="A156" s="1"/>
      <c r="B156" s="1"/>
      <c r="C156" s="29"/>
      <c r="D156" s="30"/>
      <c r="E156" s="40"/>
      <c r="F156" s="40"/>
      <c r="G156" s="32"/>
      <c r="H156" s="29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spans="1:36" ht="12.75" customHeight="1" x14ac:dyDescent="0.3">
      <c r="A157" s="1"/>
      <c r="B157" s="1"/>
      <c r="C157" s="29"/>
      <c r="D157" s="30"/>
      <c r="E157" s="40"/>
      <c r="F157" s="40"/>
      <c r="G157" s="32"/>
      <c r="H157" s="29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spans="1:36" ht="12.75" customHeight="1" x14ac:dyDescent="0.3">
      <c r="A158" s="1"/>
      <c r="B158" s="1"/>
      <c r="C158" s="29"/>
      <c r="D158" s="30"/>
      <c r="E158" s="40"/>
      <c r="F158" s="40"/>
      <c r="G158" s="32"/>
      <c r="H158" s="29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spans="1:36" ht="12.75" customHeight="1" x14ac:dyDescent="0.3">
      <c r="A159" s="1"/>
      <c r="B159" s="1"/>
      <c r="C159" s="29"/>
      <c r="D159" s="30"/>
      <c r="E159" s="40"/>
      <c r="F159" s="40"/>
      <c r="G159" s="32"/>
      <c r="H159" s="29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spans="1:36" ht="12.75" customHeight="1" x14ac:dyDescent="0.3">
      <c r="A160" s="1"/>
      <c r="B160" s="1"/>
      <c r="C160" s="29"/>
      <c r="D160" s="30"/>
      <c r="E160" s="40"/>
      <c r="F160" s="40"/>
      <c r="G160" s="32"/>
      <c r="H160" s="29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spans="1:36" ht="12.75" customHeight="1" x14ac:dyDescent="0.3">
      <c r="A161" s="1"/>
      <c r="B161" s="1"/>
      <c r="C161" s="29"/>
      <c r="D161" s="30"/>
      <c r="E161" s="40"/>
      <c r="F161" s="40"/>
      <c r="G161" s="32"/>
      <c r="H161" s="29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spans="1:36" ht="12.75" customHeight="1" x14ac:dyDescent="0.3">
      <c r="A162" s="1"/>
      <c r="B162" s="1"/>
      <c r="C162" s="29"/>
      <c r="D162" s="30"/>
      <c r="E162" s="40"/>
      <c r="F162" s="40"/>
      <c r="G162" s="32"/>
      <c r="H162" s="29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spans="1:36" ht="12.75" customHeight="1" x14ac:dyDescent="0.3">
      <c r="A163" s="1"/>
      <c r="B163" s="1"/>
      <c r="C163" s="29"/>
      <c r="D163" s="30"/>
      <c r="E163" s="40"/>
      <c r="F163" s="40"/>
      <c r="G163" s="32"/>
      <c r="H163" s="29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spans="1:36" ht="12.75" customHeight="1" x14ac:dyDescent="0.3">
      <c r="A164" s="1"/>
      <c r="B164" s="1"/>
      <c r="C164" s="29"/>
      <c r="D164" s="30"/>
      <c r="E164" s="40"/>
      <c r="F164" s="40"/>
      <c r="G164" s="32"/>
      <c r="H164" s="29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spans="1:36" ht="12.75" customHeight="1" x14ac:dyDescent="0.3">
      <c r="A165" s="1"/>
      <c r="B165" s="1"/>
      <c r="C165" s="29"/>
      <c r="D165" s="30"/>
      <c r="E165" s="40"/>
      <c r="F165" s="40"/>
      <c r="G165" s="32"/>
      <c r="H165" s="29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spans="1:36" ht="12.75" customHeight="1" x14ac:dyDescent="0.3">
      <c r="A166" s="1"/>
      <c r="B166" s="1"/>
      <c r="C166" s="29"/>
      <c r="D166" s="30"/>
      <c r="E166" s="40"/>
      <c r="F166" s="40"/>
      <c r="G166" s="32"/>
      <c r="H166" s="29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spans="1:36" ht="12.75" customHeight="1" x14ac:dyDescent="0.3">
      <c r="A167" s="1"/>
      <c r="B167" s="1"/>
      <c r="C167" s="29"/>
      <c r="D167" s="30"/>
      <c r="E167" s="40"/>
      <c r="F167" s="40"/>
      <c r="G167" s="32"/>
      <c r="H167" s="29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spans="1:36" ht="12.75" customHeight="1" x14ac:dyDescent="0.3">
      <c r="A168" s="1"/>
      <c r="B168" s="1"/>
      <c r="C168" s="29"/>
      <c r="D168" s="30"/>
      <c r="E168" s="40"/>
      <c r="F168" s="40"/>
      <c r="G168" s="32"/>
      <c r="H168" s="29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spans="1:36" ht="12.75" customHeight="1" x14ac:dyDescent="0.3">
      <c r="A169" s="1"/>
      <c r="B169" s="1"/>
      <c r="C169" s="29"/>
      <c r="D169" s="30"/>
      <c r="E169" s="40"/>
      <c r="F169" s="40"/>
      <c r="G169" s="32"/>
      <c r="H169" s="29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spans="1:36" ht="12.75" customHeight="1" x14ac:dyDescent="0.3">
      <c r="A170" s="1"/>
      <c r="B170" s="1"/>
      <c r="C170" s="29"/>
      <c r="D170" s="30"/>
      <c r="E170" s="40"/>
      <c r="F170" s="40"/>
      <c r="G170" s="32"/>
      <c r="H170" s="29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spans="1:36" ht="12.75" customHeight="1" x14ac:dyDescent="0.3">
      <c r="A171" s="1"/>
      <c r="B171" s="1"/>
      <c r="C171" s="29"/>
      <c r="D171" s="30"/>
      <c r="E171" s="40"/>
      <c r="F171" s="40"/>
      <c r="G171" s="32"/>
      <c r="H171" s="29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spans="1:36" ht="12.75" customHeight="1" x14ac:dyDescent="0.3">
      <c r="A172" s="1"/>
      <c r="B172" s="1"/>
      <c r="C172" s="29"/>
      <c r="D172" s="30"/>
      <c r="E172" s="40"/>
      <c r="F172" s="40"/>
      <c r="G172" s="32"/>
      <c r="H172" s="29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spans="1:36" ht="12.75" customHeight="1" x14ac:dyDescent="0.3">
      <c r="A173" s="1"/>
      <c r="B173" s="1"/>
      <c r="C173" s="29"/>
      <c r="D173" s="30"/>
      <c r="E173" s="40"/>
      <c r="F173" s="40"/>
      <c r="G173" s="32"/>
      <c r="H173" s="29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spans="1:36" ht="12.75" customHeight="1" x14ac:dyDescent="0.3">
      <c r="A174" s="1"/>
      <c r="B174" s="1"/>
      <c r="C174" s="29"/>
      <c r="D174" s="30"/>
      <c r="E174" s="40"/>
      <c r="F174" s="40"/>
      <c r="G174" s="32"/>
      <c r="H174" s="29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spans="1:36" ht="12.75" customHeight="1" x14ac:dyDescent="0.3">
      <c r="A175" s="1"/>
      <c r="B175" s="1"/>
      <c r="C175" s="29"/>
      <c r="D175" s="30"/>
      <c r="E175" s="40"/>
      <c r="F175" s="40"/>
      <c r="G175" s="32"/>
      <c r="H175" s="29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spans="1:36" ht="12.75" customHeight="1" x14ac:dyDescent="0.3">
      <c r="A176" s="1"/>
      <c r="B176" s="1"/>
      <c r="C176" s="29"/>
      <c r="D176" s="30"/>
      <c r="E176" s="40"/>
      <c r="F176" s="40"/>
      <c r="G176" s="32"/>
      <c r="H176" s="29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spans="1:36" ht="12.75" customHeight="1" x14ac:dyDescent="0.3">
      <c r="A177" s="1"/>
      <c r="B177" s="1"/>
      <c r="C177" s="29"/>
      <c r="D177" s="30"/>
      <c r="E177" s="40"/>
      <c r="F177" s="40"/>
      <c r="G177" s="32"/>
      <c r="H177" s="29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spans="1:36" ht="12.75" customHeight="1" x14ac:dyDescent="0.3">
      <c r="A178" s="1"/>
      <c r="B178" s="1"/>
      <c r="C178" s="29"/>
      <c r="D178" s="30"/>
      <c r="E178" s="40"/>
      <c r="F178" s="40"/>
      <c r="G178" s="32"/>
      <c r="H178" s="29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spans="1:36" ht="12.75" customHeight="1" x14ac:dyDescent="0.3">
      <c r="A179" s="1"/>
      <c r="B179" s="1"/>
      <c r="C179" s="29"/>
      <c r="D179" s="30"/>
      <c r="E179" s="40"/>
      <c r="F179" s="40"/>
      <c r="G179" s="32"/>
      <c r="H179" s="29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spans="1:36" ht="12.75" customHeight="1" x14ac:dyDescent="0.3">
      <c r="A180" s="1"/>
      <c r="B180" s="1"/>
      <c r="C180" s="29"/>
      <c r="D180" s="30"/>
      <c r="E180" s="40"/>
      <c r="F180" s="40"/>
      <c r="G180" s="32"/>
      <c r="H180" s="29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spans="1:36" ht="12.75" customHeight="1" x14ac:dyDescent="0.3">
      <c r="A181" s="1"/>
      <c r="B181" s="1"/>
      <c r="C181" s="29"/>
      <c r="D181" s="30"/>
      <c r="E181" s="40"/>
      <c r="F181" s="40"/>
      <c r="G181" s="32"/>
      <c r="H181" s="29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spans="1:36" ht="12.75" customHeight="1" x14ac:dyDescent="0.3">
      <c r="A182" s="1"/>
      <c r="B182" s="1"/>
      <c r="C182" s="29"/>
      <c r="D182" s="30"/>
      <c r="E182" s="40"/>
      <c r="F182" s="40"/>
      <c r="G182" s="32"/>
      <c r="H182" s="29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spans="1:36" ht="12.75" customHeight="1" x14ac:dyDescent="0.3">
      <c r="A183" s="1"/>
      <c r="B183" s="1"/>
      <c r="C183" s="29"/>
      <c r="D183" s="30"/>
      <c r="E183" s="40"/>
      <c r="F183" s="40"/>
      <c r="G183" s="32"/>
      <c r="H183" s="29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spans="1:36" ht="12.75" customHeight="1" x14ac:dyDescent="0.3">
      <c r="A184" s="1"/>
      <c r="B184" s="1"/>
      <c r="C184" s="29"/>
      <c r="D184" s="30"/>
      <c r="E184" s="40"/>
      <c r="F184" s="40"/>
      <c r="G184" s="32"/>
      <c r="H184" s="29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spans="1:36" ht="12.75" customHeight="1" x14ac:dyDescent="0.3">
      <c r="A185" s="1"/>
      <c r="B185" s="1"/>
      <c r="C185" s="29"/>
      <c r="D185" s="30"/>
      <c r="E185" s="40"/>
      <c r="F185" s="40"/>
      <c r="G185" s="32"/>
      <c r="H185" s="29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spans="1:36" ht="12.75" customHeight="1" x14ac:dyDescent="0.3">
      <c r="A186" s="1"/>
      <c r="B186" s="1"/>
      <c r="C186" s="29"/>
      <c r="D186" s="30"/>
      <c r="E186" s="40"/>
      <c r="F186" s="40"/>
      <c r="G186" s="32"/>
      <c r="H186" s="29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spans="1:36" ht="12.75" customHeight="1" x14ac:dyDescent="0.3">
      <c r="A187" s="1"/>
      <c r="B187" s="1"/>
      <c r="C187" s="29"/>
      <c r="D187" s="30"/>
      <c r="E187" s="40"/>
      <c r="F187" s="40"/>
      <c r="G187" s="32"/>
      <c r="H187" s="29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spans="1:36" ht="12.75" customHeight="1" x14ac:dyDescent="0.3">
      <c r="A188" s="1"/>
      <c r="B188" s="1"/>
      <c r="C188" s="29"/>
      <c r="D188" s="30"/>
      <c r="E188" s="40"/>
      <c r="F188" s="40"/>
      <c r="G188" s="32"/>
      <c r="H188" s="29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spans="1:36" ht="12.75" customHeight="1" x14ac:dyDescent="0.3">
      <c r="A189" s="1"/>
      <c r="B189" s="1"/>
      <c r="C189" s="29"/>
      <c r="D189" s="30"/>
      <c r="E189" s="40"/>
      <c r="F189" s="40"/>
      <c r="G189" s="32"/>
      <c r="H189" s="29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spans="1:36" ht="12.75" customHeight="1" x14ac:dyDescent="0.3">
      <c r="A190" s="1"/>
      <c r="B190" s="1"/>
      <c r="C190" s="29"/>
      <c r="D190" s="30"/>
      <c r="E190" s="40"/>
      <c r="F190" s="40"/>
      <c r="G190" s="32"/>
      <c r="H190" s="29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spans="1:36" ht="12.75" customHeight="1" x14ac:dyDescent="0.3">
      <c r="A191" s="1"/>
      <c r="B191" s="1"/>
      <c r="C191" s="29"/>
      <c r="D191" s="30"/>
      <c r="E191" s="40"/>
      <c r="F191" s="40"/>
      <c r="G191" s="32"/>
      <c r="H191" s="29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spans="1:36" ht="12.75" customHeight="1" x14ac:dyDescent="0.3">
      <c r="A192" s="1"/>
      <c r="B192" s="1"/>
      <c r="C192" s="29"/>
      <c r="D192" s="30"/>
      <c r="E192" s="40"/>
      <c r="F192" s="40"/>
      <c r="G192" s="32"/>
      <c r="H192" s="29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 spans="1:36" ht="12.75" customHeight="1" x14ac:dyDescent="0.3">
      <c r="A193" s="1"/>
      <c r="B193" s="1"/>
      <c r="C193" s="29"/>
      <c r="D193" s="30"/>
      <c r="E193" s="40"/>
      <c r="F193" s="40"/>
      <c r="G193" s="32"/>
      <c r="H193" s="29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 spans="1:36" ht="12.75" customHeight="1" x14ac:dyDescent="0.3">
      <c r="A194" s="1"/>
      <c r="B194" s="1"/>
      <c r="C194" s="29"/>
      <c r="D194" s="30"/>
      <c r="E194" s="40"/>
      <c r="F194" s="40"/>
      <c r="G194" s="32"/>
      <c r="H194" s="29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 spans="1:36" ht="12.75" customHeight="1" x14ac:dyDescent="0.3">
      <c r="A195" s="1"/>
      <c r="B195" s="1"/>
      <c r="C195" s="29"/>
      <c r="D195" s="30"/>
      <c r="E195" s="40"/>
      <c r="F195" s="40"/>
      <c r="G195" s="32"/>
      <c r="H195" s="29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 spans="1:36" ht="12.75" customHeight="1" x14ac:dyDescent="0.3">
      <c r="A196" s="1"/>
      <c r="B196" s="1"/>
      <c r="C196" s="29"/>
      <c r="D196" s="30"/>
      <c r="E196" s="40"/>
      <c r="F196" s="40"/>
      <c r="G196" s="32"/>
      <c r="H196" s="29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 spans="1:36" ht="12.75" customHeight="1" x14ac:dyDescent="0.3">
      <c r="A197" s="1"/>
      <c r="B197" s="1"/>
      <c r="C197" s="29"/>
      <c r="D197" s="30"/>
      <c r="E197" s="40"/>
      <c r="F197" s="40"/>
      <c r="G197" s="32"/>
      <c r="H197" s="29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 spans="1:36" ht="12.75" customHeight="1" x14ac:dyDescent="0.3">
      <c r="A198" s="1"/>
      <c r="B198" s="1"/>
      <c r="C198" s="29"/>
      <c r="D198" s="30"/>
      <c r="E198" s="40"/>
      <c r="F198" s="40"/>
      <c r="G198" s="32"/>
      <c r="H198" s="29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 spans="1:36" ht="12.75" customHeight="1" x14ac:dyDescent="0.3">
      <c r="A199" s="1"/>
      <c r="B199" s="1"/>
      <c r="C199" s="29"/>
      <c r="D199" s="30"/>
      <c r="E199" s="40"/>
      <c r="F199" s="40"/>
      <c r="G199" s="32"/>
      <c r="H199" s="29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 spans="1:36" ht="12.75" customHeight="1" x14ac:dyDescent="0.3">
      <c r="A200" s="1"/>
      <c r="B200" s="1"/>
      <c r="C200" s="29"/>
      <c r="D200" s="30"/>
      <c r="E200" s="40"/>
      <c r="F200" s="40"/>
      <c r="G200" s="32"/>
      <c r="H200" s="29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 spans="1:36" ht="12.75" customHeight="1" x14ac:dyDescent="0.3">
      <c r="A201" s="1"/>
      <c r="B201" s="1"/>
      <c r="C201" s="29"/>
      <c r="D201" s="30"/>
      <c r="E201" s="40"/>
      <c r="F201" s="40"/>
      <c r="G201" s="32"/>
      <c r="H201" s="29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 spans="1:36" ht="12.75" customHeight="1" x14ac:dyDescent="0.3">
      <c r="A202" s="1"/>
      <c r="B202" s="1"/>
      <c r="C202" s="29"/>
      <c r="D202" s="30"/>
      <c r="E202" s="40"/>
      <c r="F202" s="40"/>
      <c r="G202" s="32"/>
      <c r="H202" s="29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 spans="1:36" ht="12.75" customHeight="1" x14ac:dyDescent="0.3">
      <c r="A203" s="1"/>
      <c r="B203" s="1"/>
      <c r="C203" s="29"/>
      <c r="D203" s="30"/>
      <c r="E203" s="40"/>
      <c r="F203" s="40"/>
      <c r="G203" s="32"/>
      <c r="H203" s="29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 spans="1:36" ht="12.75" customHeight="1" x14ac:dyDescent="0.3">
      <c r="A204" s="1"/>
      <c r="B204" s="1"/>
      <c r="C204" s="29"/>
      <c r="D204" s="30"/>
      <c r="E204" s="40"/>
      <c r="F204" s="40"/>
      <c r="G204" s="32"/>
      <c r="H204" s="29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 spans="1:36" ht="12.75" customHeight="1" x14ac:dyDescent="0.3">
      <c r="A205" s="1"/>
      <c r="B205" s="1"/>
      <c r="C205" s="29"/>
      <c r="D205" s="30"/>
      <c r="E205" s="40"/>
      <c r="F205" s="40"/>
      <c r="G205" s="32"/>
      <c r="H205" s="29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 spans="1:36" ht="12.75" customHeight="1" x14ac:dyDescent="0.3">
      <c r="A206" s="1"/>
      <c r="B206" s="1"/>
      <c r="C206" s="29"/>
      <c r="D206" s="30"/>
      <c r="E206" s="40"/>
      <c r="F206" s="40"/>
      <c r="G206" s="32"/>
      <c r="H206" s="29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 spans="1:36" ht="12.75" customHeight="1" x14ac:dyDescent="0.3">
      <c r="A207" s="1"/>
      <c r="B207" s="1"/>
      <c r="C207" s="29"/>
      <c r="D207" s="30"/>
      <c r="E207" s="40"/>
      <c r="F207" s="40"/>
      <c r="G207" s="32"/>
      <c r="H207" s="29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 spans="1:36" ht="12.75" customHeight="1" x14ac:dyDescent="0.3">
      <c r="A208" s="1"/>
      <c r="B208" s="1"/>
      <c r="C208" s="29"/>
      <c r="D208" s="30"/>
      <c r="E208" s="40"/>
      <c r="F208" s="40"/>
      <c r="G208" s="32"/>
      <c r="H208" s="29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 spans="1:36" ht="12.75" customHeight="1" x14ac:dyDescent="0.3">
      <c r="A209" s="1"/>
      <c r="B209" s="1"/>
      <c r="C209" s="29"/>
      <c r="D209" s="30"/>
      <c r="E209" s="40"/>
      <c r="F209" s="40"/>
      <c r="G209" s="32"/>
      <c r="H209" s="29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 spans="1:36" ht="12.75" customHeight="1" x14ac:dyDescent="0.3">
      <c r="A210" s="1"/>
      <c r="B210" s="1"/>
      <c r="C210" s="29"/>
      <c r="D210" s="30"/>
      <c r="E210" s="40"/>
      <c r="F210" s="40"/>
      <c r="G210" s="32"/>
      <c r="H210" s="29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 spans="1:36" ht="12.75" customHeight="1" x14ac:dyDescent="0.3">
      <c r="A211" s="1"/>
      <c r="B211" s="1"/>
      <c r="C211" s="29"/>
      <c r="D211" s="30"/>
      <c r="E211" s="40"/>
      <c r="F211" s="40"/>
      <c r="G211" s="32"/>
      <c r="H211" s="29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 spans="1:36" ht="12.75" customHeight="1" x14ac:dyDescent="0.3">
      <c r="A212" s="1"/>
      <c r="B212" s="1"/>
      <c r="C212" s="29"/>
      <c r="D212" s="30"/>
      <c r="E212" s="40"/>
      <c r="F212" s="40"/>
      <c r="G212" s="32"/>
      <c r="H212" s="29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 spans="1:36" ht="12.75" customHeight="1" x14ac:dyDescent="0.3">
      <c r="A213" s="1"/>
      <c r="B213" s="1"/>
      <c r="C213" s="29"/>
      <c r="D213" s="30"/>
      <c r="E213" s="40"/>
      <c r="F213" s="40"/>
      <c r="G213" s="32"/>
      <c r="H213" s="29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 spans="1:36" ht="12.75" customHeight="1" x14ac:dyDescent="0.3">
      <c r="A214" s="1"/>
      <c r="B214" s="1"/>
      <c r="C214" s="29"/>
      <c r="D214" s="30"/>
      <c r="E214" s="40"/>
      <c r="F214" s="40"/>
      <c r="G214" s="32"/>
      <c r="H214" s="29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 spans="1:36" ht="12.75" customHeight="1" x14ac:dyDescent="0.3">
      <c r="A215" s="1"/>
      <c r="B215" s="1"/>
      <c r="C215" s="29"/>
      <c r="D215" s="30"/>
      <c r="E215" s="40"/>
      <c r="F215" s="40"/>
      <c r="G215" s="32"/>
      <c r="H215" s="29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 spans="1:36" ht="12.75" customHeight="1" x14ac:dyDescent="0.3">
      <c r="A216" s="1"/>
      <c r="B216" s="1"/>
      <c r="C216" s="29"/>
      <c r="D216" s="30"/>
      <c r="E216" s="40"/>
      <c r="F216" s="40"/>
      <c r="G216" s="32"/>
      <c r="H216" s="29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 spans="1:36" ht="12.75" customHeight="1" x14ac:dyDescent="0.3">
      <c r="A217" s="1"/>
      <c r="B217" s="1"/>
      <c r="C217" s="29"/>
      <c r="D217" s="30"/>
      <c r="E217" s="40"/>
      <c r="F217" s="40"/>
      <c r="G217" s="32"/>
      <c r="H217" s="29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 spans="1:36" ht="12.75" customHeight="1" x14ac:dyDescent="0.3">
      <c r="A218" s="1"/>
      <c r="B218" s="1"/>
      <c r="C218" s="29"/>
      <c r="D218" s="30"/>
      <c r="E218" s="40"/>
      <c r="F218" s="40"/>
      <c r="G218" s="32"/>
      <c r="H218" s="29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 spans="1:36" ht="12.75" customHeight="1" x14ac:dyDescent="0.3">
      <c r="A219" s="1"/>
      <c r="B219" s="1"/>
      <c r="C219" s="29"/>
      <c r="D219" s="30"/>
      <c r="E219" s="40"/>
      <c r="F219" s="40"/>
      <c r="G219" s="32"/>
      <c r="H219" s="29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 spans="1:36" ht="12.75" customHeight="1" x14ac:dyDescent="0.3">
      <c r="A220" s="1"/>
      <c r="B220" s="1"/>
      <c r="C220" s="29"/>
      <c r="D220" s="30"/>
      <c r="E220" s="40"/>
      <c r="F220" s="40"/>
      <c r="G220" s="32"/>
      <c r="H220" s="29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 spans="1:36" ht="15.75" customHeight="1" x14ac:dyDescent="0.3">
      <c r="E221" s="40"/>
      <c r="F221" s="40"/>
      <c r="G221" s="32"/>
      <c r="H221" s="29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</row>
    <row r="222" spans="1:36" ht="15.75" customHeight="1" x14ac:dyDescent="0.3"/>
    <row r="223" spans="1:36" ht="15.75" customHeight="1" x14ac:dyDescent="0.3"/>
    <row r="224" spans="1:3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8">
    <mergeCell ref="D11:D21"/>
    <mergeCell ref="C11:C21"/>
    <mergeCell ref="B11:B21"/>
    <mergeCell ref="A11:A21"/>
    <mergeCell ref="E7:F9"/>
    <mergeCell ref="G7:G10"/>
    <mergeCell ref="H7:H10"/>
    <mergeCell ref="I7:Q7"/>
    <mergeCell ref="A7:A10"/>
    <mergeCell ref="B7:B10"/>
    <mergeCell ref="C7:C10"/>
    <mergeCell ref="D7:D10"/>
    <mergeCell ref="T7:AB7"/>
    <mergeCell ref="I8:Q8"/>
    <mergeCell ref="T8:AB8"/>
    <mergeCell ref="T9:W9"/>
    <mergeCell ref="X9:X10"/>
    <mergeCell ref="Y9:Y10"/>
    <mergeCell ref="Z9:Z10"/>
    <mergeCell ref="AA9:AA10"/>
    <mergeCell ref="AB9:AB10"/>
    <mergeCell ref="I9:L9"/>
    <mergeCell ref="M9:M10"/>
    <mergeCell ref="N9:N10"/>
    <mergeCell ref="O9:O10"/>
    <mergeCell ref="P9:P10"/>
    <mergeCell ref="Q9:Q10"/>
    <mergeCell ref="S9:S10"/>
  </mergeCells>
  <conditionalFormatting sqref="P22:P1001 AA6 AA9:AA17 P1:P17">
    <cfRule type="cellIs" dxfId="98" priority="7" operator="equal">
      <formula>"No Aceptable"</formula>
    </cfRule>
  </conditionalFormatting>
  <conditionalFormatting sqref="P22:P1001 AA6 AA9:AA17 P1:P17">
    <cfRule type="cellIs" dxfId="97" priority="8" operator="equal">
      <formula>"Importante"</formula>
    </cfRule>
  </conditionalFormatting>
  <conditionalFormatting sqref="P22:P1001 AA6 AA9:AA17 P1:P17">
    <cfRule type="cellIs" dxfId="96" priority="9" operator="equal">
      <formula>"Moderado"</formula>
    </cfRule>
  </conditionalFormatting>
  <conditionalFormatting sqref="P22:P1001 AA6 AA9:AA17 P1:P17">
    <cfRule type="cellIs" dxfId="95" priority="10" operator="equal">
      <formula>"Tolerable"</formula>
    </cfRule>
  </conditionalFormatting>
  <conditionalFormatting sqref="P22:P1001 AA6 AA9:AA17 P1:P17">
    <cfRule type="cellIs" dxfId="94" priority="11" operator="equal">
      <formula>"Trivial"</formula>
    </cfRule>
  </conditionalFormatting>
  <conditionalFormatting sqref="G12:G17">
    <cfRule type="expression" dxfId="93" priority="12">
      <formula>P12="No Aceptable"</formula>
    </cfRule>
  </conditionalFormatting>
  <conditionalFormatting sqref="P20 AA20">
    <cfRule type="cellIs" dxfId="92" priority="13" operator="equal">
      <formula>"No Aceptable"</formula>
    </cfRule>
  </conditionalFormatting>
  <conditionalFormatting sqref="P20 AA20">
    <cfRule type="cellIs" dxfId="91" priority="14" operator="equal">
      <formula>"Importante"</formula>
    </cfRule>
  </conditionalFormatting>
  <conditionalFormatting sqref="P20 AA20">
    <cfRule type="cellIs" dxfId="90" priority="15" operator="equal">
      <formula>"Moderado"</formula>
    </cfRule>
  </conditionalFormatting>
  <conditionalFormatting sqref="P20 AA20">
    <cfRule type="cellIs" dxfId="89" priority="16" operator="equal">
      <formula>"Tolerable"</formula>
    </cfRule>
  </conditionalFormatting>
  <conditionalFormatting sqref="P20 AA20">
    <cfRule type="cellIs" dxfId="88" priority="17" operator="equal">
      <formula>"Trivial"</formula>
    </cfRule>
  </conditionalFormatting>
  <conditionalFormatting sqref="G20">
    <cfRule type="expression" dxfId="87" priority="18">
      <formula>P20="No Aceptable"</formula>
    </cfRule>
  </conditionalFormatting>
  <conditionalFormatting sqref="P21 AA21">
    <cfRule type="cellIs" dxfId="86" priority="19" operator="equal">
      <formula>"No Aceptable"</formula>
    </cfRule>
  </conditionalFormatting>
  <conditionalFormatting sqref="P21 AA21">
    <cfRule type="cellIs" dxfId="85" priority="20" operator="equal">
      <formula>"Importante"</formula>
    </cfRule>
  </conditionalFormatting>
  <conditionalFormatting sqref="P21 AA21">
    <cfRule type="cellIs" dxfId="84" priority="21" operator="equal">
      <formula>"Moderado"</formula>
    </cfRule>
  </conditionalFormatting>
  <conditionalFormatting sqref="P21 AA21">
    <cfRule type="cellIs" dxfId="83" priority="22" operator="equal">
      <formula>"Tolerable"</formula>
    </cfRule>
  </conditionalFormatting>
  <conditionalFormatting sqref="P21 AA21">
    <cfRule type="cellIs" dxfId="82" priority="23" operator="equal">
      <formula>"Trivial"</formula>
    </cfRule>
  </conditionalFormatting>
  <conditionalFormatting sqref="G21">
    <cfRule type="expression" dxfId="81" priority="24">
      <formula>P21="No Aceptable"</formula>
    </cfRule>
  </conditionalFormatting>
  <conditionalFormatting sqref="G11">
    <cfRule type="expression" dxfId="80" priority="25">
      <formula>P11="No Aceptable"</formula>
    </cfRule>
  </conditionalFormatting>
  <conditionalFormatting sqref="P18 AA18">
    <cfRule type="cellIs" dxfId="79" priority="26" operator="equal">
      <formula>"No Aceptable"</formula>
    </cfRule>
  </conditionalFormatting>
  <conditionalFormatting sqref="P18 AA18">
    <cfRule type="cellIs" dxfId="78" priority="27" operator="equal">
      <formula>"Importante"</formula>
    </cfRule>
  </conditionalFormatting>
  <conditionalFormatting sqref="P18 AA18">
    <cfRule type="cellIs" dxfId="77" priority="28" operator="equal">
      <formula>"Moderado"</formula>
    </cfRule>
  </conditionalFormatting>
  <conditionalFormatting sqref="P18 AA18">
    <cfRule type="cellIs" dxfId="76" priority="29" operator="equal">
      <formula>"Tolerable"</formula>
    </cfRule>
  </conditionalFormatting>
  <conditionalFormatting sqref="P18 AA18">
    <cfRule type="cellIs" dxfId="75" priority="30" operator="equal">
      <formula>"Trivial"</formula>
    </cfRule>
  </conditionalFormatting>
  <conditionalFormatting sqref="G18">
    <cfRule type="expression" dxfId="74" priority="31">
      <formula>P18="No Aceptable"</formula>
    </cfRule>
  </conditionalFormatting>
  <conditionalFormatting sqref="P19 AA19">
    <cfRule type="cellIs" dxfId="73" priority="1" operator="equal">
      <formula>"No Aceptable"</formula>
    </cfRule>
  </conditionalFormatting>
  <conditionalFormatting sqref="P19 AA19">
    <cfRule type="cellIs" dxfId="72" priority="2" operator="equal">
      <formula>"Importante"</formula>
    </cfRule>
  </conditionalFormatting>
  <conditionalFormatting sqref="P19 AA19">
    <cfRule type="cellIs" dxfId="71" priority="3" operator="equal">
      <formula>"Moderado"</formula>
    </cfRule>
  </conditionalFormatting>
  <conditionalFormatting sqref="P19 AA19">
    <cfRule type="cellIs" dxfId="70" priority="4" operator="equal">
      <formula>"Tolerable"</formula>
    </cfRule>
  </conditionalFormatting>
  <conditionalFormatting sqref="P19 AA19">
    <cfRule type="cellIs" dxfId="69" priority="5" operator="equal">
      <formula>"Trivial"</formula>
    </cfRule>
  </conditionalFormatting>
  <conditionalFormatting sqref="G19">
    <cfRule type="expression" dxfId="68" priority="6">
      <formula>P19="No Aceptable"</formula>
    </cfRule>
  </conditionalFormatting>
  <pageMargins left="0.19685039370078741" right="0.19685039370078741" top="0.15748031496062992" bottom="0.15748031496062992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999"/>
  <sheetViews>
    <sheetView showGridLines="0" zoomScale="60" zoomScaleNormal="60" workbookViewId="0">
      <pane ySplit="9" topLeftCell="A16" activePane="bottomLeft" state="frozen"/>
      <selection pane="bottomLeft" activeCell="H6" sqref="H6:H9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49.33203125" customWidth="1"/>
    <col min="8" max="8" width="39.88671875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7.5" customHeight="1" x14ac:dyDescent="0.3">
      <c r="A1" s="1"/>
      <c r="B1" s="1"/>
      <c r="C1" s="29"/>
      <c r="D1" s="30"/>
      <c r="E1" s="31"/>
      <c r="F1" s="31"/>
      <c r="G1" s="32"/>
      <c r="H1" s="2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/>
      <c r="U1" s="33"/>
    </row>
    <row r="2" spans="1:36" ht="12.75" customHeight="1" x14ac:dyDescent="0.4">
      <c r="A2" s="34"/>
      <c r="B2" s="34"/>
      <c r="C2" s="34"/>
      <c r="D2" s="34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6"/>
      <c r="S2" s="36"/>
      <c r="T2" s="37"/>
      <c r="U2" s="37"/>
    </row>
    <row r="3" spans="1:36" ht="12.75" customHeight="1" x14ac:dyDescent="0.4">
      <c r="A3" s="34"/>
      <c r="B3" s="34"/>
      <c r="C3" s="34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6"/>
      <c r="S3" s="36"/>
      <c r="T3" s="37"/>
      <c r="U3" s="37"/>
    </row>
    <row r="4" spans="1:36" ht="22.8" customHeight="1" x14ac:dyDescent="0.4">
      <c r="A4" s="34"/>
      <c r="B4" s="34"/>
      <c r="C4" s="34"/>
      <c r="D4" s="34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2"/>
      <c r="S4" s="2"/>
      <c r="T4" s="39"/>
      <c r="U4" s="39"/>
    </row>
    <row r="5" spans="1:36" ht="48.6" customHeight="1" x14ac:dyDescent="0.4">
      <c r="A5" s="34"/>
      <c r="B5" s="74" t="s">
        <v>246</v>
      </c>
      <c r="C5" s="34"/>
      <c r="D5" s="34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2"/>
      <c r="S5" s="2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</row>
    <row r="6" spans="1:36" ht="17.25" customHeight="1" x14ac:dyDescent="0.3">
      <c r="A6" s="84" t="s">
        <v>0</v>
      </c>
      <c r="B6" s="84" t="s">
        <v>1</v>
      </c>
      <c r="C6" s="84" t="s">
        <v>2</v>
      </c>
      <c r="D6" s="84" t="s">
        <v>3</v>
      </c>
      <c r="E6" s="87" t="s">
        <v>4</v>
      </c>
      <c r="F6" s="88"/>
      <c r="G6" s="84" t="s">
        <v>198</v>
      </c>
      <c r="H6" s="94" t="s">
        <v>5</v>
      </c>
      <c r="I6" s="77" t="s">
        <v>6</v>
      </c>
      <c r="J6" s="78"/>
      <c r="K6" s="78"/>
      <c r="L6" s="78"/>
      <c r="M6" s="78"/>
      <c r="N6" s="78"/>
      <c r="O6" s="78"/>
      <c r="P6" s="78"/>
      <c r="Q6" s="79"/>
      <c r="R6" s="3"/>
      <c r="S6" s="3"/>
      <c r="T6" s="77"/>
      <c r="U6" s="78"/>
      <c r="V6" s="78"/>
      <c r="W6" s="78"/>
      <c r="X6" s="78"/>
      <c r="Y6" s="78"/>
      <c r="Z6" s="78"/>
      <c r="AA6" s="78"/>
      <c r="AB6" s="79"/>
      <c r="AC6" s="3"/>
      <c r="AD6" s="4"/>
      <c r="AE6" s="4"/>
      <c r="AF6" s="4"/>
      <c r="AG6" s="4"/>
      <c r="AH6" s="4"/>
      <c r="AI6" s="4"/>
      <c r="AJ6" s="4"/>
    </row>
    <row r="7" spans="1:36" ht="15" customHeight="1" x14ac:dyDescent="0.3">
      <c r="A7" s="85"/>
      <c r="B7" s="85"/>
      <c r="C7" s="85"/>
      <c r="D7" s="85"/>
      <c r="E7" s="89"/>
      <c r="F7" s="90"/>
      <c r="G7" s="85"/>
      <c r="H7" s="85"/>
      <c r="I7" s="77" t="s">
        <v>6</v>
      </c>
      <c r="J7" s="78"/>
      <c r="K7" s="78"/>
      <c r="L7" s="78"/>
      <c r="M7" s="78"/>
      <c r="N7" s="78"/>
      <c r="O7" s="78"/>
      <c r="P7" s="78"/>
      <c r="Q7" s="79"/>
      <c r="R7" s="5"/>
      <c r="S7" s="5"/>
      <c r="T7" s="77" t="s">
        <v>7</v>
      </c>
      <c r="U7" s="78"/>
      <c r="V7" s="78"/>
      <c r="W7" s="78"/>
      <c r="X7" s="78"/>
      <c r="Y7" s="78"/>
      <c r="Z7" s="78"/>
      <c r="AA7" s="78"/>
      <c r="AB7" s="79"/>
      <c r="AC7" s="5"/>
      <c r="AD7" s="4"/>
      <c r="AE7" s="4"/>
      <c r="AF7" s="4"/>
      <c r="AG7" s="4"/>
      <c r="AH7" s="4"/>
      <c r="AI7" s="4"/>
      <c r="AJ7" s="4"/>
    </row>
    <row r="8" spans="1:36" ht="62.25" customHeight="1" x14ac:dyDescent="0.3">
      <c r="A8" s="85"/>
      <c r="B8" s="85"/>
      <c r="C8" s="85"/>
      <c r="D8" s="85"/>
      <c r="E8" s="91"/>
      <c r="F8" s="92"/>
      <c r="G8" s="85"/>
      <c r="H8" s="85"/>
      <c r="I8" s="80" t="s">
        <v>8</v>
      </c>
      <c r="J8" s="78"/>
      <c r="K8" s="78"/>
      <c r="L8" s="79"/>
      <c r="M8" s="81" t="s">
        <v>9</v>
      </c>
      <c r="N8" s="81" t="s">
        <v>10</v>
      </c>
      <c r="O8" s="81" t="s">
        <v>11</v>
      </c>
      <c r="P8" s="81" t="s">
        <v>12</v>
      </c>
      <c r="Q8" s="81" t="s">
        <v>13</v>
      </c>
      <c r="R8" s="5" t="s">
        <v>14</v>
      </c>
      <c r="S8" s="83" t="s">
        <v>15</v>
      </c>
      <c r="T8" s="80" t="s">
        <v>8</v>
      </c>
      <c r="U8" s="78"/>
      <c r="V8" s="78"/>
      <c r="W8" s="79"/>
      <c r="X8" s="81" t="s">
        <v>9</v>
      </c>
      <c r="Y8" s="81" t="s">
        <v>10</v>
      </c>
      <c r="Z8" s="81" t="s">
        <v>11</v>
      </c>
      <c r="AA8" s="81" t="s">
        <v>12</v>
      </c>
      <c r="AB8" s="81" t="s">
        <v>13</v>
      </c>
      <c r="AC8" s="5" t="s">
        <v>16</v>
      </c>
      <c r="AD8" s="4"/>
      <c r="AE8" s="4"/>
      <c r="AF8" s="4"/>
      <c r="AG8" s="4"/>
      <c r="AH8" s="4"/>
      <c r="AI8" s="4"/>
      <c r="AJ8" s="4"/>
    </row>
    <row r="9" spans="1:36" ht="72.75" customHeight="1" x14ac:dyDescent="0.3">
      <c r="A9" s="82"/>
      <c r="B9" s="82"/>
      <c r="C9" s="82"/>
      <c r="D9" s="82"/>
      <c r="E9" s="6" t="s">
        <v>17</v>
      </c>
      <c r="F9" s="7" t="s">
        <v>18</v>
      </c>
      <c r="G9" s="86"/>
      <c r="H9" s="86"/>
      <c r="I9" s="8" t="s">
        <v>19</v>
      </c>
      <c r="J9" s="8" t="s">
        <v>20</v>
      </c>
      <c r="K9" s="8" t="s">
        <v>21</v>
      </c>
      <c r="L9" s="8" t="s">
        <v>22</v>
      </c>
      <c r="M9" s="82"/>
      <c r="N9" s="82"/>
      <c r="O9" s="82"/>
      <c r="P9" s="82"/>
      <c r="Q9" s="82"/>
      <c r="R9" s="5"/>
      <c r="S9" s="82"/>
      <c r="T9" s="8" t="s">
        <v>19</v>
      </c>
      <c r="U9" s="8" t="s">
        <v>20</v>
      </c>
      <c r="V9" s="8" t="s">
        <v>21</v>
      </c>
      <c r="W9" s="8" t="s">
        <v>22</v>
      </c>
      <c r="X9" s="82"/>
      <c r="Y9" s="82"/>
      <c r="Z9" s="82"/>
      <c r="AA9" s="82"/>
      <c r="AB9" s="82"/>
      <c r="AC9" s="5"/>
      <c r="AD9" s="4"/>
      <c r="AE9" s="4"/>
      <c r="AF9" s="4"/>
      <c r="AG9" s="4"/>
      <c r="AH9" s="4"/>
      <c r="AI9" s="4"/>
      <c r="AJ9" s="4"/>
    </row>
    <row r="10" spans="1:36" ht="76.5" customHeight="1" x14ac:dyDescent="0.3">
      <c r="A10" s="97">
        <v>5</v>
      </c>
      <c r="B10" s="76" t="s">
        <v>113</v>
      </c>
      <c r="C10" s="97" t="s">
        <v>114</v>
      </c>
      <c r="D10" s="97" t="s">
        <v>115</v>
      </c>
      <c r="E10" s="25"/>
      <c r="F10" s="25" t="s">
        <v>26</v>
      </c>
      <c r="G10" s="10" t="s">
        <v>54</v>
      </c>
      <c r="H10" s="14" t="s">
        <v>55</v>
      </c>
      <c r="I10" s="22">
        <v>1</v>
      </c>
      <c r="J10" s="22">
        <v>2</v>
      </c>
      <c r="K10" s="22">
        <v>1</v>
      </c>
      <c r="L10" s="22">
        <v>2</v>
      </c>
      <c r="M10" s="10">
        <f t="shared" ref="M10:M19" si="0">I10+J10+K10+L10</f>
        <v>6</v>
      </c>
      <c r="N10" s="22">
        <v>1</v>
      </c>
      <c r="O10" s="11">
        <f t="shared" ref="O10:O19" si="1">M10*N10</f>
        <v>6</v>
      </c>
      <c r="P10" s="12" t="str">
        <f t="shared" ref="P10:P19" si="2">IF(G10="No","It",IF(O10&lt;=4,"Trivial",IF(O10&lt;=8,"Tolerable",IF(O10&lt;=16,"Moderado",IF(O10&lt;=24,"Importante",IF(O10&lt;=36,"No Aceptable"))))))</f>
        <v>Tolerable</v>
      </c>
      <c r="Q10" s="12" t="str">
        <f t="shared" ref="Q10:Q19" si="3">IF(P10="Trivial","NO",IF(P10="Tolerable","NO",IF(P10="Moderado","NO",IF(P10="Importante","SÍ",IF(P10="No Aceptable","SÍ")))))</f>
        <v>NO</v>
      </c>
      <c r="R10" s="13" t="s">
        <v>116</v>
      </c>
      <c r="S10" s="14" t="s">
        <v>117</v>
      </c>
      <c r="T10" s="22">
        <v>1</v>
      </c>
      <c r="U10" s="22">
        <v>1</v>
      </c>
      <c r="V10" s="22">
        <v>1</v>
      </c>
      <c r="W10" s="22">
        <v>2</v>
      </c>
      <c r="X10" s="10">
        <f t="shared" ref="X10:X19" si="4">T10+U10+V10+W10</f>
        <v>5</v>
      </c>
      <c r="Y10" s="22">
        <v>1</v>
      </c>
      <c r="Z10" s="11">
        <f t="shared" ref="Z10:Z19" si="5">X10*Y10</f>
        <v>5</v>
      </c>
      <c r="AA10" s="12" t="str">
        <f t="shared" ref="AA10:AA19" si="6">IF(R10="No","It",IF(Z10&lt;=4,"Trivial",IF(Z10&lt;=8,"Tolerable",IF(Z10&lt;=16,"Moderado",IF(Z10&lt;=24,"Importante",IF(Z10&lt;=36,"No Aceptable"))))))</f>
        <v>Tolerable</v>
      </c>
      <c r="AB10" s="12" t="str">
        <f t="shared" ref="AB10:AB19" si="7">IF(AA10="Trivial","NO",IF(AA10="Tolerable","NO",IF(AA10="Moderado","NO",IF(AA10="Importante","SÍ",IF(AA10="No Aceptable","SÍ")))))</f>
        <v>NO</v>
      </c>
      <c r="AC10" s="13" t="s">
        <v>31</v>
      </c>
      <c r="AD10" s="15"/>
      <c r="AE10" s="15"/>
      <c r="AF10" s="15"/>
      <c r="AG10" s="15"/>
      <c r="AH10" s="15"/>
      <c r="AI10" s="15"/>
      <c r="AJ10" s="15"/>
    </row>
    <row r="11" spans="1:36" ht="76.5" customHeight="1" x14ac:dyDescent="0.3">
      <c r="A11" s="97"/>
      <c r="B11" s="76"/>
      <c r="C11" s="97"/>
      <c r="D11" s="97"/>
      <c r="E11" s="25"/>
      <c r="F11" s="25" t="s">
        <v>26</v>
      </c>
      <c r="G11" s="14" t="s">
        <v>96</v>
      </c>
      <c r="H11" s="14" t="s">
        <v>118</v>
      </c>
      <c r="I11" s="22">
        <v>1</v>
      </c>
      <c r="J11" s="22">
        <v>1</v>
      </c>
      <c r="K11" s="22">
        <v>1</v>
      </c>
      <c r="L11" s="22">
        <v>2</v>
      </c>
      <c r="M11" s="10">
        <f t="shared" si="0"/>
        <v>5</v>
      </c>
      <c r="N11" s="22">
        <v>1</v>
      </c>
      <c r="O11" s="11">
        <f t="shared" si="1"/>
        <v>5</v>
      </c>
      <c r="P11" s="12" t="str">
        <f t="shared" si="2"/>
        <v>Tolerable</v>
      </c>
      <c r="Q11" s="12" t="str">
        <f t="shared" si="3"/>
        <v>NO</v>
      </c>
      <c r="R11" s="13" t="s">
        <v>119</v>
      </c>
      <c r="S11" s="14" t="s">
        <v>99</v>
      </c>
      <c r="T11" s="22">
        <v>1</v>
      </c>
      <c r="U11" s="22">
        <v>1</v>
      </c>
      <c r="V11" s="22">
        <v>1</v>
      </c>
      <c r="W11" s="22">
        <v>2</v>
      </c>
      <c r="X11" s="10">
        <f t="shared" si="4"/>
        <v>5</v>
      </c>
      <c r="Y11" s="22">
        <v>1</v>
      </c>
      <c r="Z11" s="11">
        <f t="shared" si="5"/>
        <v>5</v>
      </c>
      <c r="AA11" s="12" t="str">
        <f t="shared" si="6"/>
        <v>Tolerable</v>
      </c>
      <c r="AB11" s="12" t="str">
        <f t="shared" si="7"/>
        <v>NO</v>
      </c>
      <c r="AC11" s="13" t="s">
        <v>120</v>
      </c>
      <c r="AD11" s="15"/>
      <c r="AE11" s="15"/>
      <c r="AF11" s="15"/>
      <c r="AG11" s="15"/>
      <c r="AH11" s="15"/>
      <c r="AI11" s="15"/>
      <c r="AJ11" s="15"/>
    </row>
    <row r="12" spans="1:36" ht="76.5" customHeight="1" x14ac:dyDescent="0.3">
      <c r="A12" s="97"/>
      <c r="B12" s="76"/>
      <c r="C12" s="97"/>
      <c r="D12" s="97"/>
      <c r="E12" s="25"/>
      <c r="F12" s="25" t="s">
        <v>26</v>
      </c>
      <c r="G12" s="10" t="s">
        <v>92</v>
      </c>
      <c r="H12" s="10" t="s">
        <v>121</v>
      </c>
      <c r="I12" s="22">
        <v>1</v>
      </c>
      <c r="J12" s="22">
        <v>1</v>
      </c>
      <c r="K12" s="22">
        <v>1</v>
      </c>
      <c r="L12" s="22">
        <v>2</v>
      </c>
      <c r="M12" s="10">
        <f t="shared" si="0"/>
        <v>5</v>
      </c>
      <c r="N12" s="22">
        <v>1</v>
      </c>
      <c r="O12" s="11">
        <f t="shared" si="1"/>
        <v>5</v>
      </c>
      <c r="P12" s="12" t="str">
        <f t="shared" si="2"/>
        <v>Tolerable</v>
      </c>
      <c r="Q12" s="12" t="str">
        <f t="shared" si="3"/>
        <v>NO</v>
      </c>
      <c r="R12" s="13" t="s">
        <v>122</v>
      </c>
      <c r="S12" s="14" t="s">
        <v>123</v>
      </c>
      <c r="T12" s="22">
        <v>1</v>
      </c>
      <c r="U12" s="22">
        <v>1</v>
      </c>
      <c r="V12" s="22">
        <v>1</v>
      </c>
      <c r="W12" s="22">
        <v>2</v>
      </c>
      <c r="X12" s="10">
        <f t="shared" si="4"/>
        <v>5</v>
      </c>
      <c r="Y12" s="22">
        <v>1</v>
      </c>
      <c r="Z12" s="11">
        <f t="shared" si="5"/>
        <v>5</v>
      </c>
      <c r="AA12" s="12" t="str">
        <f t="shared" si="6"/>
        <v>Tolerable</v>
      </c>
      <c r="AB12" s="12" t="str">
        <f t="shared" si="7"/>
        <v>NO</v>
      </c>
      <c r="AC12" s="13" t="s">
        <v>31</v>
      </c>
      <c r="AD12" s="15"/>
      <c r="AE12" s="15"/>
      <c r="AF12" s="15"/>
      <c r="AG12" s="15"/>
      <c r="AH12" s="15"/>
      <c r="AI12" s="15"/>
      <c r="AJ12" s="15"/>
    </row>
    <row r="13" spans="1:36" ht="76.5" customHeight="1" x14ac:dyDescent="0.3">
      <c r="A13" s="97"/>
      <c r="B13" s="76"/>
      <c r="C13" s="97"/>
      <c r="D13" s="97"/>
      <c r="E13" s="26"/>
      <c r="F13" s="26" t="s">
        <v>26</v>
      </c>
      <c r="G13" s="10" t="s">
        <v>84</v>
      </c>
      <c r="H13" s="10" t="s">
        <v>85</v>
      </c>
      <c r="I13" s="22">
        <v>1</v>
      </c>
      <c r="J13" s="22">
        <v>1</v>
      </c>
      <c r="K13" s="22">
        <v>1</v>
      </c>
      <c r="L13" s="22">
        <v>2</v>
      </c>
      <c r="M13" s="10">
        <f t="shared" si="0"/>
        <v>5</v>
      </c>
      <c r="N13" s="22">
        <v>1</v>
      </c>
      <c r="O13" s="11">
        <f t="shared" si="1"/>
        <v>5</v>
      </c>
      <c r="P13" s="12" t="str">
        <f t="shared" si="2"/>
        <v>Tolerable</v>
      </c>
      <c r="Q13" s="12" t="str">
        <f t="shared" si="3"/>
        <v>NO</v>
      </c>
      <c r="R13" s="13" t="s">
        <v>86</v>
      </c>
      <c r="S13" s="14" t="s">
        <v>124</v>
      </c>
      <c r="T13" s="22">
        <v>1</v>
      </c>
      <c r="U13" s="22">
        <v>1</v>
      </c>
      <c r="V13" s="22">
        <v>1</v>
      </c>
      <c r="W13" s="22">
        <v>2</v>
      </c>
      <c r="X13" s="10">
        <f t="shared" si="4"/>
        <v>5</v>
      </c>
      <c r="Y13" s="22">
        <v>1</v>
      </c>
      <c r="Z13" s="11">
        <f t="shared" si="5"/>
        <v>5</v>
      </c>
      <c r="AA13" s="12" t="str">
        <f t="shared" si="6"/>
        <v>Tolerable</v>
      </c>
      <c r="AB13" s="12" t="str">
        <f t="shared" si="7"/>
        <v>NO</v>
      </c>
      <c r="AC13" s="13" t="s">
        <v>31</v>
      </c>
      <c r="AD13" s="15"/>
      <c r="AE13" s="15"/>
      <c r="AF13" s="15"/>
      <c r="AG13" s="15"/>
      <c r="AH13" s="15"/>
      <c r="AI13" s="15"/>
      <c r="AJ13" s="15"/>
    </row>
    <row r="14" spans="1:36" ht="76.5" customHeight="1" x14ac:dyDescent="0.3">
      <c r="A14" s="97"/>
      <c r="B14" s="76"/>
      <c r="C14" s="97"/>
      <c r="D14" s="97"/>
      <c r="E14" s="26"/>
      <c r="F14" s="26" t="s">
        <v>26</v>
      </c>
      <c r="G14" s="10" t="s">
        <v>125</v>
      </c>
      <c r="H14" s="10" t="s">
        <v>126</v>
      </c>
      <c r="I14" s="22">
        <v>1</v>
      </c>
      <c r="J14" s="22">
        <v>1</v>
      </c>
      <c r="K14" s="22">
        <v>1</v>
      </c>
      <c r="L14" s="22">
        <v>2</v>
      </c>
      <c r="M14" s="10">
        <f t="shared" si="0"/>
        <v>5</v>
      </c>
      <c r="N14" s="22">
        <v>1</v>
      </c>
      <c r="O14" s="11">
        <f t="shared" si="1"/>
        <v>5</v>
      </c>
      <c r="P14" s="12" t="str">
        <f t="shared" si="2"/>
        <v>Tolerable</v>
      </c>
      <c r="Q14" s="12" t="str">
        <f t="shared" si="3"/>
        <v>NO</v>
      </c>
      <c r="R14" s="27" t="s">
        <v>127</v>
      </c>
      <c r="S14" s="22" t="s">
        <v>30</v>
      </c>
      <c r="T14" s="22">
        <v>1</v>
      </c>
      <c r="U14" s="22">
        <v>1</v>
      </c>
      <c r="V14" s="22">
        <v>1</v>
      </c>
      <c r="W14" s="22">
        <v>2</v>
      </c>
      <c r="X14" s="10">
        <f t="shared" si="4"/>
        <v>5</v>
      </c>
      <c r="Y14" s="22">
        <v>1</v>
      </c>
      <c r="Z14" s="11">
        <f t="shared" si="5"/>
        <v>5</v>
      </c>
      <c r="AA14" s="12" t="str">
        <f t="shared" si="6"/>
        <v>Tolerable</v>
      </c>
      <c r="AB14" s="12" t="str">
        <f t="shared" si="7"/>
        <v>NO</v>
      </c>
      <c r="AC14" s="13" t="s">
        <v>128</v>
      </c>
      <c r="AD14" s="15"/>
      <c r="AE14" s="15"/>
      <c r="AF14" s="15"/>
      <c r="AG14" s="15"/>
      <c r="AH14" s="15"/>
      <c r="AI14" s="15"/>
      <c r="AJ14" s="15"/>
    </row>
    <row r="15" spans="1:36" ht="76.5" customHeight="1" x14ac:dyDescent="0.3">
      <c r="A15" s="97"/>
      <c r="B15" s="76"/>
      <c r="C15" s="97"/>
      <c r="D15" s="97"/>
      <c r="E15" s="59"/>
      <c r="F15" s="25" t="s">
        <v>26</v>
      </c>
      <c r="G15" s="22" t="s">
        <v>129</v>
      </c>
      <c r="H15" s="14" t="s">
        <v>130</v>
      </c>
      <c r="I15" s="22">
        <v>1</v>
      </c>
      <c r="J15" s="22">
        <v>1</v>
      </c>
      <c r="K15" s="22">
        <v>1</v>
      </c>
      <c r="L15" s="22">
        <v>2</v>
      </c>
      <c r="M15" s="10">
        <f t="shared" si="0"/>
        <v>5</v>
      </c>
      <c r="N15" s="22">
        <v>3</v>
      </c>
      <c r="O15" s="11">
        <f t="shared" si="1"/>
        <v>15</v>
      </c>
      <c r="P15" s="12" t="str">
        <f t="shared" si="2"/>
        <v>Moderado</v>
      </c>
      <c r="Q15" s="12" t="str">
        <f t="shared" si="3"/>
        <v>NO</v>
      </c>
      <c r="R15" s="13" t="s">
        <v>131</v>
      </c>
      <c r="S15" s="14" t="s">
        <v>132</v>
      </c>
      <c r="T15" s="22">
        <v>1</v>
      </c>
      <c r="U15" s="22">
        <v>1</v>
      </c>
      <c r="V15" s="22">
        <v>1</v>
      </c>
      <c r="W15" s="22">
        <v>2</v>
      </c>
      <c r="X15" s="10">
        <f t="shared" si="4"/>
        <v>5</v>
      </c>
      <c r="Y15" s="22">
        <v>2</v>
      </c>
      <c r="Z15" s="11">
        <f t="shared" si="5"/>
        <v>10</v>
      </c>
      <c r="AA15" s="12" t="str">
        <f t="shared" si="6"/>
        <v>Moderado</v>
      </c>
      <c r="AB15" s="12" t="str">
        <f t="shared" si="7"/>
        <v>NO</v>
      </c>
      <c r="AC15" s="13" t="s">
        <v>133</v>
      </c>
      <c r="AD15" s="15"/>
      <c r="AE15" s="15"/>
      <c r="AF15" s="15"/>
      <c r="AG15" s="15"/>
      <c r="AH15" s="15"/>
      <c r="AI15" s="15"/>
      <c r="AJ15" s="15"/>
    </row>
    <row r="16" spans="1:36" ht="76.5" customHeight="1" x14ac:dyDescent="0.3">
      <c r="A16" s="97"/>
      <c r="B16" s="76"/>
      <c r="C16" s="97"/>
      <c r="D16" s="97"/>
      <c r="E16" s="25" t="s">
        <v>26</v>
      </c>
      <c r="F16" s="21"/>
      <c r="G16" s="63" t="s">
        <v>145</v>
      </c>
      <c r="H16" s="14" t="s">
        <v>146</v>
      </c>
      <c r="I16" s="22">
        <v>3</v>
      </c>
      <c r="J16" s="22">
        <v>1</v>
      </c>
      <c r="K16" s="22">
        <v>2</v>
      </c>
      <c r="L16" s="22">
        <v>2</v>
      </c>
      <c r="M16" s="10">
        <f t="shared" si="0"/>
        <v>8</v>
      </c>
      <c r="N16" s="22">
        <v>3</v>
      </c>
      <c r="O16" s="11">
        <f t="shared" si="1"/>
        <v>24</v>
      </c>
      <c r="P16" s="12" t="str">
        <f t="shared" si="2"/>
        <v>Importante</v>
      </c>
      <c r="Q16" s="12" t="str">
        <f t="shared" si="3"/>
        <v>SÍ</v>
      </c>
      <c r="R16" s="13" t="s">
        <v>147</v>
      </c>
      <c r="S16" s="14" t="s">
        <v>148</v>
      </c>
      <c r="T16" s="22">
        <v>3</v>
      </c>
      <c r="U16" s="22">
        <v>1</v>
      </c>
      <c r="V16" s="22">
        <v>1</v>
      </c>
      <c r="W16" s="22">
        <v>3</v>
      </c>
      <c r="X16" s="10">
        <f t="shared" si="4"/>
        <v>8</v>
      </c>
      <c r="Y16" s="22">
        <v>3</v>
      </c>
      <c r="Z16" s="11">
        <f t="shared" si="5"/>
        <v>24</v>
      </c>
      <c r="AA16" s="12" t="str">
        <f t="shared" si="6"/>
        <v>Importante</v>
      </c>
      <c r="AB16" s="12" t="str">
        <f t="shared" si="7"/>
        <v>SÍ</v>
      </c>
      <c r="AC16" s="13" t="s">
        <v>149</v>
      </c>
      <c r="AD16" s="15"/>
      <c r="AE16" s="15"/>
      <c r="AF16" s="15"/>
      <c r="AG16" s="15"/>
      <c r="AH16" s="15"/>
      <c r="AI16" s="15"/>
      <c r="AJ16" s="15"/>
    </row>
    <row r="17" spans="1:36" ht="76.5" customHeight="1" x14ac:dyDescent="0.3">
      <c r="A17" s="97"/>
      <c r="B17" s="76"/>
      <c r="C17" s="97"/>
      <c r="D17" s="97"/>
      <c r="E17" s="26"/>
      <c r="F17" s="26" t="s">
        <v>26</v>
      </c>
      <c r="G17" s="10" t="s">
        <v>105</v>
      </c>
      <c r="H17" s="10" t="s">
        <v>134</v>
      </c>
      <c r="I17" s="22">
        <v>1</v>
      </c>
      <c r="J17" s="22">
        <v>1</v>
      </c>
      <c r="K17" s="22">
        <v>1</v>
      </c>
      <c r="L17" s="22">
        <v>2</v>
      </c>
      <c r="M17" s="10">
        <f t="shared" si="0"/>
        <v>5</v>
      </c>
      <c r="N17" s="22">
        <v>2</v>
      </c>
      <c r="O17" s="11">
        <f t="shared" si="1"/>
        <v>10</v>
      </c>
      <c r="P17" s="12" t="str">
        <f t="shared" si="2"/>
        <v>Moderado</v>
      </c>
      <c r="Q17" s="12" t="str">
        <f t="shared" si="3"/>
        <v>NO</v>
      </c>
      <c r="R17" s="13" t="s">
        <v>106</v>
      </c>
      <c r="S17" s="14" t="s">
        <v>135</v>
      </c>
      <c r="T17" s="22">
        <v>1</v>
      </c>
      <c r="U17" s="22">
        <v>1</v>
      </c>
      <c r="V17" s="22">
        <v>1</v>
      </c>
      <c r="W17" s="22">
        <v>2</v>
      </c>
      <c r="X17" s="10">
        <f t="shared" si="4"/>
        <v>5</v>
      </c>
      <c r="Y17" s="22">
        <v>1</v>
      </c>
      <c r="Z17" s="11">
        <f t="shared" si="5"/>
        <v>5</v>
      </c>
      <c r="AA17" s="12" t="str">
        <f t="shared" si="6"/>
        <v>Tolerable</v>
      </c>
      <c r="AB17" s="12" t="str">
        <f t="shared" si="7"/>
        <v>NO</v>
      </c>
      <c r="AC17" s="13" t="s">
        <v>31</v>
      </c>
      <c r="AD17" s="15"/>
      <c r="AE17" s="15"/>
      <c r="AF17" s="15"/>
      <c r="AG17" s="15"/>
      <c r="AH17" s="15"/>
      <c r="AI17" s="15"/>
      <c r="AJ17" s="15"/>
    </row>
    <row r="18" spans="1:36" ht="76.5" customHeight="1" x14ac:dyDescent="0.3">
      <c r="A18" s="97"/>
      <c r="B18" s="76"/>
      <c r="C18" s="97"/>
      <c r="D18" s="97"/>
      <c r="E18" s="59"/>
      <c r="F18" s="25" t="s">
        <v>26</v>
      </c>
      <c r="G18" s="14" t="s">
        <v>57</v>
      </c>
      <c r="H18" s="14" t="s">
        <v>58</v>
      </c>
      <c r="I18" s="22">
        <v>1</v>
      </c>
      <c r="J18" s="22">
        <v>1</v>
      </c>
      <c r="K18" s="22">
        <v>1</v>
      </c>
      <c r="L18" s="22">
        <v>3</v>
      </c>
      <c r="M18" s="10">
        <f t="shared" si="0"/>
        <v>6</v>
      </c>
      <c r="N18" s="22">
        <v>2</v>
      </c>
      <c r="O18" s="11">
        <f t="shared" si="1"/>
        <v>12</v>
      </c>
      <c r="P18" s="12" t="str">
        <f t="shared" si="2"/>
        <v>Moderado</v>
      </c>
      <c r="Q18" s="12" t="str">
        <f t="shared" si="3"/>
        <v>NO</v>
      </c>
      <c r="R18" s="13" t="s">
        <v>59</v>
      </c>
      <c r="S18" s="14" t="s">
        <v>60</v>
      </c>
      <c r="T18" s="22">
        <v>1</v>
      </c>
      <c r="U18" s="22">
        <v>1</v>
      </c>
      <c r="V18" s="22">
        <v>1</v>
      </c>
      <c r="W18" s="22">
        <v>3</v>
      </c>
      <c r="X18" s="10">
        <f t="shared" si="4"/>
        <v>6</v>
      </c>
      <c r="Y18" s="22">
        <v>1</v>
      </c>
      <c r="Z18" s="11">
        <f t="shared" si="5"/>
        <v>6</v>
      </c>
      <c r="AA18" s="12" t="str">
        <f t="shared" si="6"/>
        <v>Tolerable</v>
      </c>
      <c r="AB18" s="12" t="str">
        <f t="shared" si="7"/>
        <v>NO</v>
      </c>
      <c r="AC18" s="18" t="s">
        <v>61</v>
      </c>
      <c r="AD18" s="15"/>
      <c r="AE18" s="15"/>
      <c r="AF18" s="15"/>
      <c r="AG18" s="15"/>
      <c r="AH18" s="15"/>
      <c r="AI18" s="15"/>
      <c r="AJ18" s="15"/>
    </row>
    <row r="19" spans="1:36" ht="34.799999999999997" customHeight="1" x14ac:dyDescent="0.3">
      <c r="A19" s="97"/>
      <c r="B19" s="76"/>
      <c r="C19" s="97"/>
      <c r="D19" s="97"/>
      <c r="E19" s="26"/>
      <c r="F19" s="26" t="s">
        <v>26</v>
      </c>
      <c r="G19" s="10" t="s">
        <v>32</v>
      </c>
      <c r="H19" s="10" t="s">
        <v>33</v>
      </c>
      <c r="I19" s="22">
        <v>1</v>
      </c>
      <c r="J19" s="22">
        <v>1</v>
      </c>
      <c r="K19" s="22">
        <v>2</v>
      </c>
      <c r="L19" s="22">
        <v>3</v>
      </c>
      <c r="M19" s="10">
        <f t="shared" si="0"/>
        <v>7</v>
      </c>
      <c r="N19" s="22">
        <v>2</v>
      </c>
      <c r="O19" s="11">
        <f t="shared" si="1"/>
        <v>14</v>
      </c>
      <c r="P19" s="12" t="str">
        <f t="shared" si="2"/>
        <v>Moderado</v>
      </c>
      <c r="Q19" s="12" t="str">
        <f t="shared" si="3"/>
        <v>NO</v>
      </c>
      <c r="R19" s="18" t="s">
        <v>36</v>
      </c>
      <c r="S19" s="22" t="s">
        <v>30</v>
      </c>
      <c r="T19" s="22">
        <v>1</v>
      </c>
      <c r="U19" s="22">
        <v>1</v>
      </c>
      <c r="V19" s="22">
        <v>1</v>
      </c>
      <c r="W19" s="22">
        <v>3</v>
      </c>
      <c r="X19" s="10">
        <f t="shared" si="4"/>
        <v>6</v>
      </c>
      <c r="Y19" s="22">
        <v>1</v>
      </c>
      <c r="Z19" s="11">
        <f t="shared" si="5"/>
        <v>6</v>
      </c>
      <c r="AA19" s="12" t="str">
        <f t="shared" si="6"/>
        <v>Tolerable</v>
      </c>
      <c r="AB19" s="12" t="str">
        <f t="shared" si="7"/>
        <v>NO</v>
      </c>
      <c r="AC19" s="13" t="s">
        <v>136</v>
      </c>
      <c r="AD19" s="33"/>
      <c r="AE19" s="33"/>
      <c r="AF19" s="33"/>
      <c r="AG19" s="33"/>
      <c r="AH19" s="33"/>
      <c r="AI19" s="33"/>
      <c r="AJ19" s="33"/>
    </row>
    <row r="20" spans="1:36" ht="12.75" customHeight="1" x14ac:dyDescent="0.3">
      <c r="A20" s="1"/>
      <c r="B20" s="1"/>
      <c r="C20" s="29"/>
      <c r="D20" s="30"/>
      <c r="E20" s="40"/>
      <c r="F20" s="40"/>
      <c r="G20" s="32"/>
      <c r="H20" s="29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</row>
    <row r="21" spans="1:36" ht="12.75" customHeight="1" x14ac:dyDescent="0.3">
      <c r="A21" s="1"/>
      <c r="B21" s="1"/>
      <c r="C21" s="29"/>
      <c r="D21" s="30"/>
      <c r="E21" s="40"/>
      <c r="F21" s="40"/>
      <c r="G21" s="32"/>
      <c r="H21" s="29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</row>
    <row r="22" spans="1:36" ht="12.75" customHeight="1" x14ac:dyDescent="0.3">
      <c r="A22" s="1"/>
      <c r="B22" s="1"/>
      <c r="C22" s="29"/>
      <c r="D22" s="30"/>
      <c r="E22" s="40"/>
      <c r="F22" s="40"/>
      <c r="G22" s="32"/>
      <c r="H22" s="29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</row>
    <row r="23" spans="1:36" ht="12.75" customHeight="1" x14ac:dyDescent="0.3">
      <c r="A23" s="1"/>
      <c r="B23" s="1"/>
      <c r="C23" s="29"/>
      <c r="D23" s="30"/>
      <c r="E23" s="40"/>
      <c r="F23" s="40"/>
      <c r="G23" s="32"/>
      <c r="H23" s="29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</row>
    <row r="24" spans="1:36" ht="12.75" customHeight="1" x14ac:dyDescent="0.3">
      <c r="A24" s="1"/>
      <c r="B24" s="1"/>
      <c r="C24" s="29"/>
      <c r="D24" s="30"/>
      <c r="E24" s="40"/>
      <c r="F24" s="40"/>
      <c r="G24" s="32"/>
      <c r="H24" s="29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</row>
    <row r="25" spans="1:36" ht="12.75" customHeight="1" x14ac:dyDescent="0.3">
      <c r="A25" s="1"/>
      <c r="B25" s="1"/>
      <c r="C25" s="29"/>
      <c r="D25" s="30"/>
      <c r="E25" s="40"/>
      <c r="F25" s="40"/>
      <c r="G25" s="32"/>
      <c r="H25" s="29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</row>
    <row r="26" spans="1:36" ht="12.75" customHeight="1" x14ac:dyDescent="0.3">
      <c r="A26" s="1"/>
      <c r="B26" s="1"/>
      <c r="C26" s="29"/>
      <c r="D26" s="30"/>
      <c r="E26" s="40"/>
      <c r="F26" s="40"/>
      <c r="G26" s="32"/>
      <c r="H26" s="29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6" ht="12.75" customHeight="1" x14ac:dyDescent="0.3">
      <c r="A27" s="1"/>
      <c r="B27" s="1"/>
      <c r="C27" s="29"/>
      <c r="D27" s="30"/>
      <c r="E27" s="40"/>
      <c r="F27" s="40"/>
      <c r="G27" s="32"/>
      <c r="H27" s="29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6" ht="12.75" customHeight="1" x14ac:dyDescent="0.3">
      <c r="A28" s="1"/>
      <c r="B28" s="1"/>
      <c r="C28" s="29"/>
      <c r="D28" s="30"/>
      <c r="E28" s="40"/>
      <c r="F28" s="40"/>
      <c r="G28" s="32"/>
      <c r="H28" s="29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spans="1:36" ht="12.75" customHeight="1" x14ac:dyDescent="0.3">
      <c r="A29" s="1"/>
      <c r="B29" s="1"/>
      <c r="C29" s="29"/>
      <c r="D29" s="30"/>
      <c r="E29" s="40"/>
      <c r="F29" s="40"/>
      <c r="G29" s="32"/>
      <c r="H29" s="29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</row>
    <row r="30" spans="1:36" ht="12.75" customHeight="1" x14ac:dyDescent="0.3">
      <c r="A30" s="1"/>
      <c r="B30" s="1"/>
      <c r="C30" s="29"/>
      <c r="D30" s="30"/>
      <c r="E30" s="40"/>
      <c r="F30" s="40"/>
      <c r="G30" s="32"/>
      <c r="H30" s="29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</row>
    <row r="31" spans="1:36" ht="12.75" customHeight="1" x14ac:dyDescent="0.3">
      <c r="A31" s="1"/>
      <c r="B31" s="1"/>
      <c r="C31" s="29"/>
      <c r="D31" s="30"/>
      <c r="E31" s="40"/>
      <c r="F31" s="40"/>
      <c r="G31" s="32"/>
      <c r="H31" s="29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spans="1:36" ht="12.75" customHeight="1" x14ac:dyDescent="0.3">
      <c r="A32" s="1"/>
      <c r="B32" s="1"/>
      <c r="C32" s="29"/>
      <c r="D32" s="30"/>
      <c r="E32" s="40"/>
      <c r="F32" s="40"/>
      <c r="G32" s="32"/>
      <c r="H32" s="29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</row>
    <row r="33" spans="1:36" ht="12.75" customHeight="1" x14ac:dyDescent="0.3">
      <c r="A33" s="1"/>
      <c r="B33" s="1"/>
      <c r="C33" s="29"/>
      <c r="D33" s="30"/>
      <c r="E33" s="40"/>
      <c r="F33" s="40"/>
      <c r="G33" s="32"/>
      <c r="H33" s="29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</row>
    <row r="34" spans="1:36" ht="12.75" customHeight="1" x14ac:dyDescent="0.3">
      <c r="A34" s="1"/>
      <c r="B34" s="1"/>
      <c r="C34" s="29"/>
      <c r="D34" s="30"/>
      <c r="E34" s="40"/>
      <c r="F34" s="40"/>
      <c r="G34" s="32"/>
      <c r="H34" s="29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</row>
    <row r="35" spans="1:36" ht="12.75" customHeight="1" x14ac:dyDescent="0.3">
      <c r="A35" s="1"/>
      <c r="B35" s="1"/>
      <c r="C35" s="29"/>
      <c r="D35" s="30"/>
      <c r="E35" s="40"/>
      <c r="F35" s="40"/>
      <c r="G35" s="32"/>
      <c r="H35" s="29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spans="1:36" ht="12.75" customHeight="1" x14ac:dyDescent="0.3">
      <c r="A36" s="1"/>
      <c r="B36" s="1"/>
      <c r="C36" s="29"/>
      <c r="D36" s="30"/>
      <c r="E36" s="40"/>
      <c r="F36" s="40"/>
      <c r="G36" s="32"/>
      <c r="H36" s="29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spans="1:36" ht="12.75" customHeight="1" x14ac:dyDescent="0.3">
      <c r="A37" s="1"/>
      <c r="B37" s="1"/>
      <c r="C37" s="29"/>
      <c r="D37" s="30"/>
      <c r="E37" s="40"/>
      <c r="F37" s="40"/>
      <c r="G37" s="32"/>
      <c r="H37" s="29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spans="1:36" ht="12.75" customHeight="1" x14ac:dyDescent="0.3">
      <c r="A38" s="1"/>
      <c r="B38" s="1"/>
      <c r="C38" s="29"/>
      <c r="D38" s="30"/>
      <c r="E38" s="40"/>
      <c r="F38" s="40"/>
      <c r="G38" s="32"/>
      <c r="H38" s="29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1:36" ht="12.75" customHeight="1" x14ac:dyDescent="0.3">
      <c r="A39" s="1"/>
      <c r="B39" s="1"/>
      <c r="C39" s="29"/>
      <c r="D39" s="30"/>
      <c r="E39" s="40"/>
      <c r="F39" s="40"/>
      <c r="G39" s="32"/>
      <c r="H39" s="29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spans="1:36" ht="12.75" customHeight="1" x14ac:dyDescent="0.3">
      <c r="A40" s="1"/>
      <c r="B40" s="1"/>
      <c r="C40" s="29"/>
      <c r="D40" s="30"/>
      <c r="E40" s="40"/>
      <c r="F40" s="40"/>
      <c r="G40" s="32"/>
      <c r="H40" s="29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spans="1:36" ht="12.75" customHeight="1" x14ac:dyDescent="0.3">
      <c r="A41" s="1"/>
      <c r="B41" s="1"/>
      <c r="C41" s="29"/>
      <c r="D41" s="30"/>
      <c r="E41" s="40"/>
      <c r="F41" s="40"/>
      <c r="G41" s="32"/>
      <c r="H41" s="29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spans="1:36" ht="12.75" customHeight="1" x14ac:dyDescent="0.3">
      <c r="A42" s="1"/>
      <c r="B42" s="1"/>
      <c r="C42" s="29"/>
      <c r="D42" s="30"/>
      <c r="E42" s="40"/>
      <c r="F42" s="40"/>
      <c r="G42" s="32"/>
      <c r="H42" s="29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spans="1:36" ht="12.75" customHeight="1" x14ac:dyDescent="0.3">
      <c r="A43" s="1"/>
      <c r="B43" s="1"/>
      <c r="C43" s="29"/>
      <c r="D43" s="30"/>
      <c r="E43" s="40"/>
      <c r="F43" s="40"/>
      <c r="G43" s="32"/>
      <c r="H43" s="29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spans="1:36" ht="12.75" customHeight="1" x14ac:dyDescent="0.3">
      <c r="A44" s="1"/>
      <c r="B44" s="1"/>
      <c r="C44" s="29"/>
      <c r="D44" s="30"/>
      <c r="E44" s="40"/>
      <c r="F44" s="40"/>
      <c r="G44" s="32"/>
      <c r="H44" s="29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spans="1:36" ht="12.75" customHeight="1" x14ac:dyDescent="0.3">
      <c r="A45" s="1"/>
      <c r="B45" s="1"/>
      <c r="C45" s="29"/>
      <c r="D45" s="41"/>
      <c r="E45" s="40"/>
      <c r="F45" s="40"/>
      <c r="G45" s="32"/>
      <c r="H45" s="29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spans="1:36" ht="12.75" customHeight="1" x14ac:dyDescent="0.3">
      <c r="A46" s="1"/>
      <c r="B46" s="1"/>
      <c r="C46" s="29"/>
      <c r="D46" s="30"/>
      <c r="E46" s="40"/>
      <c r="F46" s="40"/>
      <c r="G46" s="32"/>
      <c r="H46" s="29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spans="1:36" ht="12.75" customHeight="1" x14ac:dyDescent="0.3">
      <c r="A47" s="1"/>
      <c r="B47" s="1"/>
      <c r="C47" s="29"/>
      <c r="D47" s="30"/>
      <c r="E47" s="40"/>
      <c r="F47" s="40"/>
      <c r="G47" s="32"/>
      <c r="H47" s="29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spans="1:36" ht="12.75" customHeight="1" x14ac:dyDescent="0.3">
      <c r="A48" s="1"/>
      <c r="B48" s="1"/>
      <c r="C48" s="29"/>
      <c r="D48" s="30"/>
      <c r="E48" s="40"/>
      <c r="F48" s="40"/>
      <c r="G48" s="32"/>
      <c r="H48" s="29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spans="1:36" ht="12.75" customHeight="1" x14ac:dyDescent="0.3">
      <c r="A49" s="1"/>
      <c r="B49" s="1"/>
      <c r="C49" s="29"/>
      <c r="D49" s="30"/>
      <c r="E49" s="40"/>
      <c r="F49" s="40"/>
      <c r="G49" s="32"/>
      <c r="H49" s="29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spans="1:36" ht="12.75" customHeight="1" x14ac:dyDescent="0.3">
      <c r="A50" s="1"/>
      <c r="B50" s="1"/>
      <c r="C50" s="29"/>
      <c r="D50" s="30"/>
      <c r="E50" s="40"/>
      <c r="F50" s="40"/>
      <c r="G50" s="32"/>
      <c r="H50" s="2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spans="1:36" ht="12.75" customHeight="1" x14ac:dyDescent="0.3">
      <c r="A51" s="1"/>
      <c r="B51" s="1"/>
      <c r="C51" s="29"/>
      <c r="D51" s="30"/>
      <c r="E51" s="40"/>
      <c r="F51" s="40"/>
      <c r="G51" s="32"/>
      <c r="H51" s="29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spans="1:36" ht="12.75" customHeight="1" x14ac:dyDescent="0.3">
      <c r="A52" s="1"/>
      <c r="B52" s="1"/>
      <c r="C52" s="29"/>
      <c r="D52" s="30"/>
      <c r="E52" s="40"/>
      <c r="F52" s="40"/>
      <c r="G52" s="32"/>
      <c r="H52" s="2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spans="1:36" ht="12.75" customHeight="1" x14ac:dyDescent="0.3">
      <c r="A53" s="1"/>
      <c r="B53" s="1"/>
      <c r="C53" s="29"/>
      <c r="D53" s="30"/>
      <c r="E53" s="40"/>
      <c r="F53" s="40"/>
      <c r="G53" s="32"/>
      <c r="H53" s="29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spans="1:36" ht="12.75" customHeight="1" x14ac:dyDescent="0.3">
      <c r="A54" s="1"/>
      <c r="B54" s="1"/>
      <c r="C54" s="29"/>
      <c r="D54" s="30"/>
      <c r="E54" s="40"/>
      <c r="F54" s="40"/>
      <c r="G54" s="32"/>
      <c r="H54" s="29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spans="1:36" ht="12.75" customHeight="1" x14ac:dyDescent="0.3">
      <c r="A55" s="1"/>
      <c r="B55" s="1"/>
      <c r="C55" s="29"/>
      <c r="D55" s="30"/>
      <c r="E55" s="40"/>
      <c r="F55" s="40"/>
      <c r="G55" s="32"/>
      <c r="H55" s="29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36" ht="12.75" customHeight="1" x14ac:dyDescent="0.3">
      <c r="A56" s="1"/>
      <c r="B56" s="1"/>
      <c r="C56" s="29"/>
      <c r="D56" s="30"/>
      <c r="E56" s="40"/>
      <c r="F56" s="40"/>
      <c r="G56" s="32"/>
      <c r="H56" s="2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spans="1:36" ht="12.75" customHeight="1" x14ac:dyDescent="0.3">
      <c r="A57" s="1"/>
      <c r="B57" s="1"/>
      <c r="C57" s="29"/>
      <c r="D57" s="30"/>
      <c r="E57" s="40"/>
      <c r="F57" s="40"/>
      <c r="G57" s="32"/>
      <c r="H57" s="29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spans="1:36" ht="12.75" customHeight="1" x14ac:dyDescent="0.3">
      <c r="A58" s="1"/>
      <c r="B58" s="1"/>
      <c r="C58" s="29"/>
      <c r="D58" s="30"/>
      <c r="E58" s="40"/>
      <c r="F58" s="40"/>
      <c r="G58" s="32"/>
      <c r="H58" s="29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spans="1:36" ht="12.75" customHeight="1" x14ac:dyDescent="0.3">
      <c r="A59" s="1"/>
      <c r="B59" s="1"/>
      <c r="C59" s="29"/>
      <c r="D59" s="30"/>
      <c r="E59" s="40"/>
      <c r="F59" s="40"/>
      <c r="G59" s="32"/>
      <c r="H59" s="29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spans="1:36" ht="12.75" customHeight="1" x14ac:dyDescent="0.3">
      <c r="A60" s="1"/>
      <c r="B60" s="1"/>
      <c r="C60" s="29"/>
      <c r="D60" s="30"/>
      <c r="E60" s="40"/>
      <c r="F60" s="40"/>
      <c r="G60" s="32"/>
      <c r="H60" s="29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spans="1:36" ht="12.75" customHeight="1" x14ac:dyDescent="0.3">
      <c r="A61" s="1"/>
      <c r="B61" s="1"/>
      <c r="C61" s="29"/>
      <c r="D61" s="30"/>
      <c r="E61" s="40"/>
      <c r="F61" s="40"/>
      <c r="G61" s="32"/>
      <c r="H61" s="29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spans="1:36" ht="12.75" customHeight="1" x14ac:dyDescent="0.3">
      <c r="A62" s="1"/>
      <c r="B62" s="1"/>
      <c r="C62" s="29"/>
      <c r="D62" s="30"/>
      <c r="E62" s="40"/>
      <c r="F62" s="40"/>
      <c r="G62" s="32"/>
      <c r="H62" s="29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 spans="1:36" ht="12.75" customHeight="1" x14ac:dyDescent="0.3">
      <c r="A63" s="1"/>
      <c r="B63" s="1"/>
      <c r="C63" s="29"/>
      <c r="D63" s="30"/>
      <c r="E63" s="40"/>
      <c r="F63" s="40"/>
      <c r="G63" s="32"/>
      <c r="H63" s="29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12.75" customHeight="1" x14ac:dyDescent="0.3">
      <c r="A64" s="1"/>
      <c r="B64" s="1"/>
      <c r="C64" s="29"/>
      <c r="D64" s="30"/>
      <c r="E64" s="40"/>
      <c r="F64" s="40"/>
      <c r="G64" s="32"/>
      <c r="H64" s="29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spans="1:36" ht="12.75" customHeight="1" x14ac:dyDescent="0.3">
      <c r="A65" s="1"/>
      <c r="B65" s="1"/>
      <c r="C65" s="29"/>
      <c r="D65" s="30"/>
      <c r="E65" s="40"/>
      <c r="F65" s="40"/>
      <c r="G65" s="32"/>
      <c r="H65" s="29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spans="1:36" ht="12.75" customHeight="1" x14ac:dyDescent="0.3">
      <c r="A66" s="1"/>
      <c r="B66" s="1"/>
      <c r="C66" s="29"/>
      <c r="D66" s="30"/>
      <c r="E66" s="40"/>
      <c r="F66" s="40"/>
      <c r="G66" s="32"/>
      <c r="H66" s="29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 spans="1:36" ht="12.75" customHeight="1" x14ac:dyDescent="0.3">
      <c r="A67" s="1"/>
      <c r="B67" s="1"/>
      <c r="C67" s="29"/>
      <c r="D67" s="30"/>
      <c r="E67" s="40"/>
      <c r="F67" s="40"/>
      <c r="G67" s="32"/>
      <c r="H67" s="29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spans="1:36" ht="12.75" customHeight="1" x14ac:dyDescent="0.3">
      <c r="A68" s="1"/>
      <c r="B68" s="1"/>
      <c r="C68" s="29"/>
      <c r="D68" s="30"/>
      <c r="E68" s="40"/>
      <c r="F68" s="40"/>
      <c r="G68" s="32"/>
      <c r="H68" s="29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spans="1:36" ht="12.75" customHeight="1" x14ac:dyDescent="0.3">
      <c r="A69" s="1"/>
      <c r="B69" s="1"/>
      <c r="C69" s="29"/>
      <c r="D69" s="30"/>
      <c r="E69" s="40"/>
      <c r="F69" s="40"/>
      <c r="G69" s="32"/>
      <c r="H69" s="29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spans="1:36" ht="12.75" customHeight="1" x14ac:dyDescent="0.3">
      <c r="A70" s="1"/>
      <c r="B70" s="1"/>
      <c r="C70" s="29"/>
      <c r="D70" s="30"/>
      <c r="E70" s="40"/>
      <c r="F70" s="40"/>
      <c r="G70" s="32"/>
      <c r="H70" s="29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1:36" ht="12.75" customHeight="1" x14ac:dyDescent="0.3">
      <c r="A71" s="1"/>
      <c r="B71" s="1"/>
      <c r="C71" s="29"/>
      <c r="D71" s="30"/>
      <c r="E71" s="40"/>
      <c r="F71" s="40"/>
      <c r="G71" s="32"/>
      <c r="H71" s="29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1:36" ht="12.75" customHeight="1" x14ac:dyDescent="0.3">
      <c r="A72" s="1"/>
      <c r="B72" s="1"/>
      <c r="C72" s="29"/>
      <c r="D72" s="30"/>
      <c r="E72" s="40"/>
      <c r="F72" s="40"/>
      <c r="G72" s="32"/>
      <c r="H72" s="29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spans="1:36" ht="12.75" customHeight="1" x14ac:dyDescent="0.3">
      <c r="A73" s="1"/>
      <c r="B73" s="1"/>
      <c r="C73" s="29"/>
      <c r="D73" s="30"/>
      <c r="E73" s="40"/>
      <c r="F73" s="40"/>
      <c r="G73" s="32"/>
      <c r="H73" s="29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 spans="1:36" ht="12.75" customHeight="1" x14ac:dyDescent="0.3">
      <c r="A74" s="1"/>
      <c r="B74" s="1"/>
      <c r="C74" s="29"/>
      <c r="D74" s="30"/>
      <c r="E74" s="40"/>
      <c r="F74" s="40"/>
      <c r="G74" s="32"/>
      <c r="H74" s="29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 spans="1:36" ht="12.75" customHeight="1" x14ac:dyDescent="0.3">
      <c r="A75" s="1"/>
      <c r="B75" s="1"/>
      <c r="C75" s="29"/>
      <c r="D75" s="30"/>
      <c r="E75" s="40"/>
      <c r="F75" s="40"/>
      <c r="G75" s="32"/>
      <c r="H75" s="29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</row>
    <row r="76" spans="1:36" ht="12.75" customHeight="1" x14ac:dyDescent="0.3">
      <c r="A76" s="1"/>
      <c r="B76" s="1"/>
      <c r="C76" s="29"/>
      <c r="D76" s="30"/>
      <c r="E76" s="40"/>
      <c r="F76" s="40"/>
      <c r="G76" s="32"/>
      <c r="H76" s="29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</row>
    <row r="77" spans="1:36" ht="12.75" customHeight="1" x14ac:dyDescent="0.3">
      <c r="A77" s="1"/>
      <c r="B77" s="1"/>
      <c r="C77" s="29"/>
      <c r="D77" s="30"/>
      <c r="E77" s="40"/>
      <c r="F77" s="40"/>
      <c r="G77" s="32"/>
      <c r="H77" s="29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 spans="1:36" ht="12.75" customHeight="1" x14ac:dyDescent="0.3">
      <c r="A78" s="1"/>
      <c r="B78" s="1"/>
      <c r="C78" s="29"/>
      <c r="D78" s="30"/>
      <c r="E78" s="40"/>
      <c r="F78" s="40"/>
      <c r="G78" s="32"/>
      <c r="H78" s="29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</row>
    <row r="79" spans="1:36" ht="12.75" customHeight="1" x14ac:dyDescent="0.3">
      <c r="A79" s="1"/>
      <c r="B79" s="1"/>
      <c r="C79" s="29"/>
      <c r="D79" s="30"/>
      <c r="E79" s="40"/>
      <c r="F79" s="40"/>
      <c r="G79" s="32"/>
      <c r="H79" s="29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</row>
    <row r="80" spans="1:36" ht="12.75" customHeight="1" x14ac:dyDescent="0.3">
      <c r="A80" s="1"/>
      <c r="B80" s="1"/>
      <c r="C80" s="29"/>
      <c r="D80" s="30"/>
      <c r="E80" s="40"/>
      <c r="F80" s="40"/>
      <c r="G80" s="32"/>
      <c r="H80" s="29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spans="1:36" ht="12.75" customHeight="1" x14ac:dyDescent="0.3">
      <c r="A81" s="1"/>
      <c r="B81" s="1"/>
      <c r="C81" s="29"/>
      <c r="D81" s="30"/>
      <c r="E81" s="40"/>
      <c r="F81" s="40"/>
      <c r="G81" s="32"/>
      <c r="H81" s="29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 spans="1:36" ht="12.75" customHeight="1" x14ac:dyDescent="0.3">
      <c r="A82" s="1"/>
      <c r="B82" s="1"/>
      <c r="C82" s="29"/>
      <c r="D82" s="30"/>
      <c r="E82" s="40"/>
      <c r="F82" s="40"/>
      <c r="G82" s="32"/>
      <c r="H82" s="29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spans="1:36" ht="12.75" customHeight="1" x14ac:dyDescent="0.3">
      <c r="A83" s="1"/>
      <c r="B83" s="1"/>
      <c r="C83" s="29"/>
      <c r="D83" s="30"/>
      <c r="E83" s="40"/>
      <c r="F83" s="40"/>
      <c r="G83" s="32"/>
      <c r="H83" s="29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</row>
    <row r="84" spans="1:36" ht="12.75" customHeight="1" x14ac:dyDescent="0.3">
      <c r="A84" s="1"/>
      <c r="B84" s="1"/>
      <c r="C84" s="29"/>
      <c r="D84" s="30"/>
      <c r="E84" s="40"/>
      <c r="F84" s="40"/>
      <c r="G84" s="32"/>
      <c r="H84" s="29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</row>
    <row r="85" spans="1:36" ht="12.75" customHeight="1" x14ac:dyDescent="0.3">
      <c r="A85" s="1"/>
      <c r="B85" s="1"/>
      <c r="C85" s="29"/>
      <c r="D85" s="30"/>
      <c r="E85" s="40"/>
      <c r="F85" s="40"/>
      <c r="G85" s="32"/>
      <c r="H85" s="29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spans="1:36" ht="12.75" customHeight="1" x14ac:dyDescent="0.3">
      <c r="A86" s="1"/>
      <c r="B86" s="1"/>
      <c r="C86" s="29"/>
      <c r="D86" s="30"/>
      <c r="E86" s="40"/>
      <c r="F86" s="40"/>
      <c r="G86" s="32"/>
      <c r="H86" s="29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 spans="1:36" ht="12.75" customHeight="1" x14ac:dyDescent="0.3">
      <c r="A87" s="1"/>
      <c r="B87" s="1"/>
      <c r="C87" s="29"/>
      <c r="D87" s="30"/>
      <c r="E87" s="40"/>
      <c r="F87" s="40"/>
      <c r="G87" s="32"/>
      <c r="H87" s="29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spans="1:36" ht="12.75" customHeight="1" x14ac:dyDescent="0.3">
      <c r="A88" s="1"/>
      <c r="B88" s="1"/>
      <c r="C88" s="29"/>
      <c r="D88" s="30"/>
      <c r="E88" s="40"/>
      <c r="F88" s="40"/>
      <c r="G88" s="32"/>
      <c r="H88" s="29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 spans="1:36" ht="12.75" customHeight="1" x14ac:dyDescent="0.3">
      <c r="A89" s="1"/>
      <c r="B89" s="1"/>
      <c r="C89" s="29"/>
      <c r="D89" s="30"/>
      <c r="E89" s="40"/>
      <c r="F89" s="40"/>
      <c r="G89" s="32"/>
      <c r="H89" s="29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</row>
    <row r="90" spans="1:36" ht="12.75" customHeight="1" x14ac:dyDescent="0.3">
      <c r="A90" s="1"/>
      <c r="B90" s="1"/>
      <c r="C90" s="29"/>
      <c r="D90" s="30"/>
      <c r="E90" s="40"/>
      <c r="F90" s="40"/>
      <c r="G90" s="32"/>
      <c r="H90" s="29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</row>
    <row r="91" spans="1:36" ht="12.75" customHeight="1" x14ac:dyDescent="0.3">
      <c r="A91" s="1"/>
      <c r="B91" s="1"/>
      <c r="C91" s="29"/>
      <c r="D91" s="30"/>
      <c r="E91" s="40"/>
      <c r="F91" s="40"/>
      <c r="G91" s="32"/>
      <c r="H91" s="29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spans="1:36" ht="12.75" customHeight="1" x14ac:dyDescent="0.3">
      <c r="A92" s="1"/>
      <c r="B92" s="1"/>
      <c r="C92" s="29"/>
      <c r="D92" s="30"/>
      <c r="E92" s="40"/>
      <c r="F92" s="40"/>
      <c r="G92" s="32"/>
      <c r="H92" s="29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spans="1:36" ht="12.75" customHeight="1" x14ac:dyDescent="0.3">
      <c r="A93" s="1"/>
      <c r="B93" s="1"/>
      <c r="C93" s="29"/>
      <c r="D93" s="30"/>
      <c r="E93" s="40"/>
      <c r="F93" s="40"/>
      <c r="G93" s="32"/>
      <c r="H93" s="29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 spans="1:36" ht="12.75" customHeight="1" x14ac:dyDescent="0.3">
      <c r="A94" s="1"/>
      <c r="B94" s="1"/>
      <c r="C94" s="29"/>
      <c r="D94" s="30"/>
      <c r="E94" s="40"/>
      <c r="F94" s="40"/>
      <c r="G94" s="32"/>
      <c r="H94" s="29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ht="12.75" customHeight="1" x14ac:dyDescent="0.3">
      <c r="A95" s="1"/>
      <c r="B95" s="1"/>
      <c r="C95" s="29"/>
      <c r="D95" s="30"/>
      <c r="E95" s="40"/>
      <c r="F95" s="40"/>
      <c r="G95" s="32"/>
      <c r="H95" s="29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ht="12.75" customHeight="1" x14ac:dyDescent="0.3">
      <c r="A96" s="1"/>
      <c r="B96" s="1"/>
      <c r="C96" s="29"/>
      <c r="D96" s="30"/>
      <c r="E96" s="40"/>
      <c r="F96" s="40"/>
      <c r="G96" s="32"/>
      <c r="H96" s="29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ht="12.75" customHeight="1" x14ac:dyDescent="0.3">
      <c r="A97" s="1"/>
      <c r="B97" s="1"/>
      <c r="C97" s="29"/>
      <c r="D97" s="30"/>
      <c r="E97" s="40"/>
      <c r="F97" s="40"/>
      <c r="G97" s="32"/>
      <c r="H97" s="29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spans="1:36" ht="12.75" customHeight="1" x14ac:dyDescent="0.3">
      <c r="A98" s="1"/>
      <c r="B98" s="1"/>
      <c r="C98" s="29"/>
      <c r="D98" s="30"/>
      <c r="E98" s="40"/>
      <c r="F98" s="40"/>
      <c r="G98" s="32"/>
      <c r="H98" s="29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spans="1:36" ht="12.75" customHeight="1" x14ac:dyDescent="0.3">
      <c r="A99" s="1"/>
      <c r="B99" s="1"/>
      <c r="C99" s="29"/>
      <c r="D99" s="30"/>
      <c r="E99" s="40"/>
      <c r="F99" s="40"/>
      <c r="G99" s="32"/>
      <c r="H99" s="29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 spans="1:36" ht="12.75" customHeight="1" x14ac:dyDescent="0.3">
      <c r="A100" s="1"/>
      <c r="B100" s="1"/>
      <c r="C100" s="29"/>
      <c r="D100" s="30"/>
      <c r="E100" s="40"/>
      <c r="F100" s="40"/>
      <c r="G100" s="32"/>
      <c r="H100" s="29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 spans="1:36" ht="12.75" customHeight="1" x14ac:dyDescent="0.3">
      <c r="A101" s="1"/>
      <c r="B101" s="1"/>
      <c r="C101" s="29"/>
      <c r="D101" s="30"/>
      <c r="E101" s="40"/>
      <c r="F101" s="40"/>
      <c r="G101" s="32"/>
      <c r="H101" s="29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 spans="1:36" ht="12.75" customHeight="1" x14ac:dyDescent="0.3">
      <c r="A102" s="1"/>
      <c r="B102" s="1"/>
      <c r="C102" s="29"/>
      <c r="D102" s="30"/>
      <c r="E102" s="40"/>
      <c r="F102" s="40"/>
      <c r="G102" s="32"/>
      <c r="H102" s="29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 spans="1:36" ht="12.75" customHeight="1" x14ac:dyDescent="0.3">
      <c r="A103" s="1"/>
      <c r="B103" s="1"/>
      <c r="C103" s="29"/>
      <c r="D103" s="30"/>
      <c r="E103" s="40"/>
      <c r="F103" s="40"/>
      <c r="G103" s="32"/>
      <c r="H103" s="29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 spans="1:36" ht="12.75" customHeight="1" x14ac:dyDescent="0.3">
      <c r="A104" s="1"/>
      <c r="B104" s="1"/>
      <c r="C104" s="29"/>
      <c r="D104" s="30"/>
      <c r="E104" s="40"/>
      <c r="F104" s="40"/>
      <c r="G104" s="32"/>
      <c r="H104" s="29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 spans="1:36" ht="12.75" customHeight="1" x14ac:dyDescent="0.3">
      <c r="A105" s="1"/>
      <c r="B105" s="1"/>
      <c r="C105" s="29"/>
      <c r="D105" s="30"/>
      <c r="E105" s="40"/>
      <c r="F105" s="40"/>
      <c r="G105" s="32"/>
      <c r="H105" s="29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 spans="1:36" ht="12.75" customHeight="1" x14ac:dyDescent="0.3">
      <c r="A106" s="1"/>
      <c r="B106" s="1"/>
      <c r="C106" s="29"/>
      <c r="D106" s="30"/>
      <c r="E106" s="40"/>
      <c r="F106" s="40"/>
      <c r="G106" s="32"/>
      <c r="H106" s="29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spans="1:36" ht="12.75" customHeight="1" x14ac:dyDescent="0.3">
      <c r="A107" s="1"/>
      <c r="B107" s="1"/>
      <c r="C107" s="29"/>
      <c r="D107" s="30"/>
      <c r="E107" s="40"/>
      <c r="F107" s="40"/>
      <c r="G107" s="32"/>
      <c r="H107" s="29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spans="1:36" ht="12.75" customHeight="1" x14ac:dyDescent="0.3">
      <c r="A108" s="1"/>
      <c r="B108" s="1"/>
      <c r="C108" s="29"/>
      <c r="D108" s="30"/>
      <c r="E108" s="40"/>
      <c r="F108" s="40"/>
      <c r="G108" s="32"/>
      <c r="H108" s="29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spans="1:36" ht="12.75" customHeight="1" x14ac:dyDescent="0.3">
      <c r="A109" s="1"/>
      <c r="B109" s="1"/>
      <c r="C109" s="29"/>
      <c r="D109" s="30"/>
      <c r="E109" s="40"/>
      <c r="F109" s="40"/>
      <c r="G109" s="32"/>
      <c r="H109" s="29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spans="1:36" ht="12.75" customHeight="1" x14ac:dyDescent="0.3">
      <c r="A110" s="1"/>
      <c r="B110" s="1"/>
      <c r="C110" s="29"/>
      <c r="D110" s="30"/>
      <c r="E110" s="40"/>
      <c r="F110" s="40"/>
      <c r="G110" s="32"/>
      <c r="H110" s="29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spans="1:36" ht="12.75" customHeight="1" x14ac:dyDescent="0.3">
      <c r="A111" s="1"/>
      <c r="B111" s="1"/>
      <c r="C111" s="29"/>
      <c r="D111" s="30"/>
      <c r="E111" s="40"/>
      <c r="F111" s="40"/>
      <c r="G111" s="32"/>
      <c r="H111" s="29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spans="1:36" ht="12.75" customHeight="1" x14ac:dyDescent="0.3">
      <c r="A112" s="1"/>
      <c r="B112" s="1"/>
      <c r="C112" s="29"/>
      <c r="D112" s="30"/>
      <c r="E112" s="40"/>
      <c r="F112" s="40"/>
      <c r="G112" s="32"/>
      <c r="H112" s="29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spans="1:36" ht="12.75" customHeight="1" x14ac:dyDescent="0.3">
      <c r="A113" s="1"/>
      <c r="B113" s="1"/>
      <c r="C113" s="29"/>
      <c r="D113" s="30"/>
      <c r="E113" s="40"/>
      <c r="F113" s="40"/>
      <c r="G113" s="32"/>
      <c r="H113" s="29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spans="1:36" ht="12.75" customHeight="1" x14ac:dyDescent="0.3">
      <c r="A114" s="1"/>
      <c r="B114" s="1"/>
      <c r="C114" s="29"/>
      <c r="D114" s="30"/>
      <c r="E114" s="40"/>
      <c r="F114" s="40"/>
      <c r="G114" s="32"/>
      <c r="H114" s="29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spans="1:36" ht="12.75" customHeight="1" x14ac:dyDescent="0.3">
      <c r="A115" s="1"/>
      <c r="B115" s="1"/>
      <c r="C115" s="29"/>
      <c r="D115" s="30"/>
      <c r="E115" s="40"/>
      <c r="F115" s="40"/>
      <c r="G115" s="32"/>
      <c r="H115" s="29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spans="1:36" ht="12.75" customHeight="1" x14ac:dyDescent="0.3">
      <c r="A116" s="1"/>
      <c r="B116" s="1"/>
      <c r="C116" s="29"/>
      <c r="D116" s="30"/>
      <c r="E116" s="40"/>
      <c r="F116" s="40"/>
      <c r="G116" s="32"/>
      <c r="H116" s="29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spans="1:36" ht="12.75" customHeight="1" x14ac:dyDescent="0.3">
      <c r="A117" s="1"/>
      <c r="B117" s="1"/>
      <c r="C117" s="29"/>
      <c r="D117" s="30"/>
      <c r="E117" s="40"/>
      <c r="F117" s="40"/>
      <c r="G117" s="32"/>
      <c r="H117" s="29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spans="1:36" ht="12.75" customHeight="1" x14ac:dyDescent="0.3">
      <c r="A118" s="1"/>
      <c r="B118" s="1"/>
      <c r="C118" s="29"/>
      <c r="D118" s="30"/>
      <c r="E118" s="40"/>
      <c r="F118" s="40"/>
      <c r="G118" s="32"/>
      <c r="H118" s="29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spans="1:36" ht="12.75" customHeight="1" x14ac:dyDescent="0.3">
      <c r="A119" s="1"/>
      <c r="B119" s="1"/>
      <c r="C119" s="29"/>
      <c r="D119" s="30"/>
      <c r="E119" s="40"/>
      <c r="F119" s="40"/>
      <c r="G119" s="32"/>
      <c r="H119" s="29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spans="1:36" ht="12.75" customHeight="1" x14ac:dyDescent="0.3">
      <c r="A120" s="1"/>
      <c r="B120" s="1"/>
      <c r="C120" s="29"/>
      <c r="D120" s="30"/>
      <c r="E120" s="40"/>
      <c r="F120" s="40"/>
      <c r="G120" s="32"/>
      <c r="H120" s="29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spans="1:36" ht="12.75" customHeight="1" x14ac:dyDescent="0.3">
      <c r="A121" s="1"/>
      <c r="B121" s="1"/>
      <c r="C121" s="29"/>
      <c r="D121" s="30"/>
      <c r="E121" s="40"/>
      <c r="F121" s="40"/>
      <c r="G121" s="32"/>
      <c r="H121" s="29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spans="1:36" ht="12.75" customHeight="1" x14ac:dyDescent="0.3">
      <c r="A122" s="1"/>
      <c r="B122" s="1"/>
      <c r="C122" s="29"/>
      <c r="D122" s="30"/>
      <c r="E122" s="40"/>
      <c r="F122" s="40"/>
      <c r="G122" s="32"/>
      <c r="H122" s="29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spans="1:36" ht="12.75" customHeight="1" x14ac:dyDescent="0.3">
      <c r="A123" s="1"/>
      <c r="B123" s="1"/>
      <c r="C123" s="29"/>
      <c r="D123" s="30"/>
      <c r="E123" s="40"/>
      <c r="F123" s="40"/>
      <c r="G123" s="32"/>
      <c r="H123" s="29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spans="1:36" ht="12.75" customHeight="1" x14ac:dyDescent="0.3">
      <c r="A124" s="1"/>
      <c r="B124" s="1"/>
      <c r="C124" s="29"/>
      <c r="D124" s="30"/>
      <c r="E124" s="40"/>
      <c r="F124" s="40"/>
      <c r="G124" s="32"/>
      <c r="H124" s="29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spans="1:36" ht="12.75" customHeight="1" x14ac:dyDescent="0.3">
      <c r="A125" s="1"/>
      <c r="B125" s="1"/>
      <c r="C125" s="29"/>
      <c r="D125" s="30"/>
      <c r="E125" s="40"/>
      <c r="F125" s="40"/>
      <c r="G125" s="32"/>
      <c r="H125" s="29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spans="1:36" ht="12.75" customHeight="1" x14ac:dyDescent="0.3">
      <c r="A126" s="1"/>
      <c r="B126" s="1"/>
      <c r="C126" s="29"/>
      <c r="D126" s="30"/>
      <c r="E126" s="40"/>
      <c r="F126" s="40"/>
      <c r="G126" s="32"/>
      <c r="H126" s="29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spans="1:36" ht="12.75" customHeight="1" x14ac:dyDescent="0.3">
      <c r="A127" s="1"/>
      <c r="B127" s="1"/>
      <c r="C127" s="29"/>
      <c r="D127" s="30"/>
      <c r="E127" s="40"/>
      <c r="F127" s="40"/>
      <c r="G127" s="32"/>
      <c r="H127" s="29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spans="1:36" ht="12.75" customHeight="1" x14ac:dyDescent="0.3">
      <c r="A128" s="1"/>
      <c r="B128" s="1"/>
      <c r="C128" s="29"/>
      <c r="D128" s="30"/>
      <c r="E128" s="40"/>
      <c r="F128" s="40"/>
      <c r="G128" s="32"/>
      <c r="H128" s="29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spans="1:36" ht="12.75" customHeight="1" x14ac:dyDescent="0.3">
      <c r="A129" s="1"/>
      <c r="B129" s="1"/>
      <c r="C129" s="29"/>
      <c r="D129" s="30"/>
      <c r="E129" s="40"/>
      <c r="F129" s="40"/>
      <c r="G129" s="32"/>
      <c r="H129" s="29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spans="1:36" ht="12.75" customHeight="1" x14ac:dyDescent="0.3">
      <c r="A130" s="1"/>
      <c r="B130" s="1"/>
      <c r="C130" s="29"/>
      <c r="D130" s="30"/>
      <c r="E130" s="40"/>
      <c r="F130" s="40"/>
      <c r="G130" s="32"/>
      <c r="H130" s="29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spans="1:36" ht="12.75" customHeight="1" x14ac:dyDescent="0.3">
      <c r="A131" s="1"/>
      <c r="B131" s="1"/>
      <c r="C131" s="29"/>
      <c r="D131" s="30"/>
      <c r="E131" s="40"/>
      <c r="F131" s="40"/>
      <c r="G131" s="32"/>
      <c r="H131" s="29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spans="1:36" ht="12.75" customHeight="1" x14ac:dyDescent="0.3">
      <c r="A132" s="1"/>
      <c r="B132" s="1"/>
      <c r="C132" s="29"/>
      <c r="D132" s="30"/>
      <c r="E132" s="40"/>
      <c r="F132" s="40"/>
      <c r="G132" s="32"/>
      <c r="H132" s="29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spans="1:36" ht="12.75" customHeight="1" x14ac:dyDescent="0.3">
      <c r="A133" s="1"/>
      <c r="B133" s="1"/>
      <c r="C133" s="29"/>
      <c r="D133" s="30"/>
      <c r="E133" s="40"/>
      <c r="F133" s="40"/>
      <c r="G133" s="32"/>
      <c r="H133" s="29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spans="1:36" ht="12.75" customHeight="1" x14ac:dyDescent="0.3">
      <c r="A134" s="1"/>
      <c r="B134" s="1"/>
      <c r="C134" s="29"/>
      <c r="D134" s="30"/>
      <c r="E134" s="40"/>
      <c r="F134" s="40"/>
      <c r="G134" s="32"/>
      <c r="H134" s="29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spans="1:36" ht="12.75" customHeight="1" x14ac:dyDescent="0.3">
      <c r="A135" s="1"/>
      <c r="B135" s="1"/>
      <c r="C135" s="29"/>
      <c r="D135" s="30"/>
      <c r="E135" s="40"/>
      <c r="F135" s="40"/>
      <c r="G135" s="32"/>
      <c r="H135" s="29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spans="1:36" ht="12.75" customHeight="1" x14ac:dyDescent="0.3">
      <c r="A136" s="1"/>
      <c r="B136" s="1"/>
      <c r="C136" s="29"/>
      <c r="D136" s="30"/>
      <c r="E136" s="40"/>
      <c r="F136" s="40"/>
      <c r="G136" s="32"/>
      <c r="H136" s="29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spans="1:36" ht="12.75" customHeight="1" x14ac:dyDescent="0.3">
      <c r="A137" s="1"/>
      <c r="B137" s="1"/>
      <c r="C137" s="29"/>
      <c r="D137" s="30"/>
      <c r="E137" s="40"/>
      <c r="F137" s="40"/>
      <c r="G137" s="32"/>
      <c r="H137" s="29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spans="1:36" ht="12.75" customHeight="1" x14ac:dyDescent="0.3">
      <c r="A138" s="1"/>
      <c r="B138" s="1"/>
      <c r="C138" s="29"/>
      <c r="D138" s="30"/>
      <c r="E138" s="40"/>
      <c r="F138" s="40"/>
      <c r="G138" s="32"/>
      <c r="H138" s="29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spans="1:36" ht="12.75" customHeight="1" x14ac:dyDescent="0.3">
      <c r="A139" s="1"/>
      <c r="B139" s="1"/>
      <c r="C139" s="29"/>
      <c r="D139" s="30"/>
      <c r="E139" s="40"/>
      <c r="F139" s="40"/>
      <c r="G139" s="32"/>
      <c r="H139" s="29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spans="1:36" ht="12.75" customHeight="1" x14ac:dyDescent="0.3">
      <c r="A140" s="1"/>
      <c r="B140" s="1"/>
      <c r="C140" s="29"/>
      <c r="D140" s="30"/>
      <c r="E140" s="40"/>
      <c r="F140" s="40"/>
      <c r="G140" s="32"/>
      <c r="H140" s="29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spans="1:36" ht="12.75" customHeight="1" x14ac:dyDescent="0.3">
      <c r="A141" s="1"/>
      <c r="B141" s="1"/>
      <c r="C141" s="29"/>
      <c r="D141" s="30"/>
      <c r="E141" s="40"/>
      <c r="F141" s="40"/>
      <c r="G141" s="32"/>
      <c r="H141" s="29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spans="1:36" ht="12.75" customHeight="1" x14ac:dyDescent="0.3">
      <c r="A142" s="1"/>
      <c r="B142" s="1"/>
      <c r="C142" s="29"/>
      <c r="D142" s="30"/>
      <c r="E142" s="40"/>
      <c r="F142" s="40"/>
      <c r="G142" s="32"/>
      <c r="H142" s="29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spans="1:36" ht="12.75" customHeight="1" x14ac:dyDescent="0.3">
      <c r="A143" s="1"/>
      <c r="B143" s="1"/>
      <c r="C143" s="29"/>
      <c r="D143" s="30"/>
      <c r="E143" s="40"/>
      <c r="F143" s="40"/>
      <c r="G143" s="32"/>
      <c r="H143" s="29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spans="1:36" ht="12.75" customHeight="1" x14ac:dyDescent="0.3">
      <c r="A144" s="1"/>
      <c r="B144" s="1"/>
      <c r="C144" s="29"/>
      <c r="D144" s="30"/>
      <c r="E144" s="40"/>
      <c r="F144" s="40"/>
      <c r="G144" s="32"/>
      <c r="H144" s="29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spans="1:36" ht="12.75" customHeight="1" x14ac:dyDescent="0.3">
      <c r="A145" s="1"/>
      <c r="B145" s="1"/>
      <c r="C145" s="29"/>
      <c r="D145" s="30"/>
      <c r="E145" s="40"/>
      <c r="F145" s="40"/>
      <c r="G145" s="32"/>
      <c r="H145" s="29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spans="1:36" ht="12.75" customHeight="1" x14ac:dyDescent="0.3">
      <c r="A146" s="1"/>
      <c r="B146" s="1"/>
      <c r="C146" s="29"/>
      <c r="D146" s="30"/>
      <c r="E146" s="40"/>
      <c r="F146" s="40"/>
      <c r="G146" s="32"/>
      <c r="H146" s="29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spans="1:36" ht="12.75" customHeight="1" x14ac:dyDescent="0.3">
      <c r="A147" s="1"/>
      <c r="B147" s="1"/>
      <c r="C147" s="29"/>
      <c r="D147" s="30"/>
      <c r="E147" s="40"/>
      <c r="F147" s="40"/>
      <c r="G147" s="32"/>
      <c r="H147" s="29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spans="1:36" ht="12.75" customHeight="1" x14ac:dyDescent="0.3">
      <c r="A148" s="1"/>
      <c r="B148" s="1"/>
      <c r="C148" s="29"/>
      <c r="D148" s="30"/>
      <c r="E148" s="40"/>
      <c r="F148" s="40"/>
      <c r="G148" s="32"/>
      <c r="H148" s="29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spans="1:36" ht="12.75" customHeight="1" x14ac:dyDescent="0.3">
      <c r="A149" s="1"/>
      <c r="B149" s="1"/>
      <c r="C149" s="29"/>
      <c r="D149" s="30"/>
      <c r="E149" s="40"/>
      <c r="F149" s="40"/>
      <c r="G149" s="32"/>
      <c r="H149" s="29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spans="1:36" ht="12.75" customHeight="1" x14ac:dyDescent="0.3">
      <c r="A150" s="1"/>
      <c r="B150" s="1"/>
      <c r="C150" s="29"/>
      <c r="D150" s="30"/>
      <c r="E150" s="40"/>
      <c r="F150" s="40"/>
      <c r="G150" s="32"/>
      <c r="H150" s="29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spans="1:36" ht="12.75" customHeight="1" x14ac:dyDescent="0.3">
      <c r="A151" s="1"/>
      <c r="B151" s="1"/>
      <c r="C151" s="29"/>
      <c r="D151" s="30"/>
      <c r="E151" s="40"/>
      <c r="F151" s="40"/>
      <c r="G151" s="32"/>
      <c r="H151" s="29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spans="1:36" ht="12.75" customHeight="1" x14ac:dyDescent="0.3">
      <c r="A152" s="1"/>
      <c r="B152" s="1"/>
      <c r="C152" s="29"/>
      <c r="D152" s="30"/>
      <c r="E152" s="40"/>
      <c r="F152" s="40"/>
      <c r="G152" s="32"/>
      <c r="H152" s="29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spans="1:36" ht="12.75" customHeight="1" x14ac:dyDescent="0.3">
      <c r="A153" s="1"/>
      <c r="B153" s="1"/>
      <c r="C153" s="29"/>
      <c r="D153" s="30"/>
      <c r="E153" s="40"/>
      <c r="F153" s="40"/>
      <c r="G153" s="32"/>
      <c r="H153" s="29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spans="1:36" ht="12.75" customHeight="1" x14ac:dyDescent="0.3">
      <c r="A154" s="1"/>
      <c r="B154" s="1"/>
      <c r="C154" s="29"/>
      <c r="D154" s="30"/>
      <c r="E154" s="40"/>
      <c r="F154" s="40"/>
      <c r="G154" s="32"/>
      <c r="H154" s="29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spans="1:36" ht="12.75" customHeight="1" x14ac:dyDescent="0.3">
      <c r="A155" s="1"/>
      <c r="B155" s="1"/>
      <c r="C155" s="29"/>
      <c r="D155" s="30"/>
      <c r="E155" s="40"/>
      <c r="F155" s="40"/>
      <c r="G155" s="32"/>
      <c r="H155" s="29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spans="1:36" ht="12.75" customHeight="1" x14ac:dyDescent="0.3">
      <c r="A156" s="1"/>
      <c r="B156" s="1"/>
      <c r="C156" s="29"/>
      <c r="D156" s="30"/>
      <c r="E156" s="40"/>
      <c r="F156" s="40"/>
      <c r="G156" s="32"/>
      <c r="H156" s="29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spans="1:36" ht="12.75" customHeight="1" x14ac:dyDescent="0.3">
      <c r="A157" s="1"/>
      <c r="B157" s="1"/>
      <c r="C157" s="29"/>
      <c r="D157" s="30"/>
      <c r="E157" s="40"/>
      <c r="F157" s="40"/>
      <c r="G157" s="32"/>
      <c r="H157" s="29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spans="1:36" ht="12.75" customHeight="1" x14ac:dyDescent="0.3">
      <c r="A158" s="1"/>
      <c r="B158" s="1"/>
      <c r="C158" s="29"/>
      <c r="D158" s="30"/>
      <c r="E158" s="40"/>
      <c r="F158" s="40"/>
      <c r="G158" s="32"/>
      <c r="H158" s="29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spans="1:36" ht="12.75" customHeight="1" x14ac:dyDescent="0.3">
      <c r="A159" s="1"/>
      <c r="B159" s="1"/>
      <c r="C159" s="29"/>
      <c r="D159" s="30"/>
      <c r="E159" s="40"/>
      <c r="F159" s="40"/>
      <c r="G159" s="32"/>
      <c r="H159" s="29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spans="1:36" ht="12.75" customHeight="1" x14ac:dyDescent="0.3">
      <c r="A160" s="1"/>
      <c r="B160" s="1"/>
      <c r="C160" s="29"/>
      <c r="D160" s="30"/>
      <c r="E160" s="40"/>
      <c r="F160" s="40"/>
      <c r="G160" s="32"/>
      <c r="H160" s="29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spans="1:36" ht="12.75" customHeight="1" x14ac:dyDescent="0.3">
      <c r="A161" s="1"/>
      <c r="B161" s="1"/>
      <c r="C161" s="29"/>
      <c r="D161" s="30"/>
      <c r="E161" s="40"/>
      <c r="F161" s="40"/>
      <c r="G161" s="32"/>
      <c r="H161" s="29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spans="1:36" ht="12.75" customHeight="1" x14ac:dyDescent="0.3">
      <c r="A162" s="1"/>
      <c r="B162" s="1"/>
      <c r="C162" s="29"/>
      <c r="D162" s="30"/>
      <c r="E162" s="40"/>
      <c r="F162" s="40"/>
      <c r="G162" s="32"/>
      <c r="H162" s="29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spans="1:36" ht="12.75" customHeight="1" x14ac:dyDescent="0.3">
      <c r="A163" s="1"/>
      <c r="B163" s="1"/>
      <c r="C163" s="29"/>
      <c r="D163" s="30"/>
      <c r="E163" s="40"/>
      <c r="F163" s="40"/>
      <c r="G163" s="32"/>
      <c r="H163" s="29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spans="1:36" ht="12.75" customHeight="1" x14ac:dyDescent="0.3">
      <c r="A164" s="1"/>
      <c r="B164" s="1"/>
      <c r="C164" s="29"/>
      <c r="D164" s="30"/>
      <c r="E164" s="40"/>
      <c r="F164" s="40"/>
      <c r="G164" s="32"/>
      <c r="H164" s="29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spans="1:36" ht="12.75" customHeight="1" x14ac:dyDescent="0.3">
      <c r="A165" s="1"/>
      <c r="B165" s="1"/>
      <c r="C165" s="29"/>
      <c r="D165" s="30"/>
      <c r="E165" s="40"/>
      <c r="F165" s="40"/>
      <c r="G165" s="32"/>
      <c r="H165" s="29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spans="1:36" ht="12.75" customHeight="1" x14ac:dyDescent="0.3">
      <c r="A166" s="1"/>
      <c r="B166" s="1"/>
      <c r="C166" s="29"/>
      <c r="D166" s="30"/>
      <c r="E166" s="40"/>
      <c r="F166" s="40"/>
      <c r="G166" s="32"/>
      <c r="H166" s="29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spans="1:36" ht="12.75" customHeight="1" x14ac:dyDescent="0.3">
      <c r="A167" s="1"/>
      <c r="B167" s="1"/>
      <c r="C167" s="29"/>
      <c r="D167" s="30"/>
      <c r="E167" s="40"/>
      <c r="F167" s="40"/>
      <c r="G167" s="32"/>
      <c r="H167" s="29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spans="1:36" ht="12.75" customHeight="1" x14ac:dyDescent="0.3">
      <c r="A168" s="1"/>
      <c r="B168" s="1"/>
      <c r="C168" s="29"/>
      <c r="D168" s="30"/>
      <c r="E168" s="40"/>
      <c r="F168" s="40"/>
      <c r="G168" s="32"/>
      <c r="H168" s="29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spans="1:36" ht="12.75" customHeight="1" x14ac:dyDescent="0.3">
      <c r="A169" s="1"/>
      <c r="B169" s="1"/>
      <c r="C169" s="29"/>
      <c r="D169" s="30"/>
      <c r="E169" s="40"/>
      <c r="F169" s="40"/>
      <c r="G169" s="32"/>
      <c r="H169" s="29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spans="1:36" ht="12.75" customHeight="1" x14ac:dyDescent="0.3">
      <c r="A170" s="1"/>
      <c r="B170" s="1"/>
      <c r="C170" s="29"/>
      <c r="D170" s="30"/>
      <c r="E170" s="40"/>
      <c r="F170" s="40"/>
      <c r="G170" s="32"/>
      <c r="H170" s="29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spans="1:36" ht="12.75" customHeight="1" x14ac:dyDescent="0.3">
      <c r="A171" s="1"/>
      <c r="B171" s="1"/>
      <c r="C171" s="29"/>
      <c r="D171" s="30"/>
      <c r="E171" s="40"/>
      <c r="F171" s="40"/>
      <c r="G171" s="32"/>
      <c r="H171" s="29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spans="1:36" ht="12.75" customHeight="1" x14ac:dyDescent="0.3">
      <c r="A172" s="1"/>
      <c r="B172" s="1"/>
      <c r="C172" s="29"/>
      <c r="D172" s="30"/>
      <c r="E172" s="40"/>
      <c r="F172" s="40"/>
      <c r="G172" s="32"/>
      <c r="H172" s="29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spans="1:36" ht="12.75" customHeight="1" x14ac:dyDescent="0.3">
      <c r="A173" s="1"/>
      <c r="B173" s="1"/>
      <c r="C173" s="29"/>
      <c r="D173" s="30"/>
      <c r="E173" s="40"/>
      <c r="F173" s="40"/>
      <c r="G173" s="32"/>
      <c r="H173" s="29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spans="1:36" ht="12.75" customHeight="1" x14ac:dyDescent="0.3">
      <c r="A174" s="1"/>
      <c r="B174" s="1"/>
      <c r="C174" s="29"/>
      <c r="D174" s="30"/>
      <c r="E174" s="40"/>
      <c r="F174" s="40"/>
      <c r="G174" s="32"/>
      <c r="H174" s="29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spans="1:36" ht="12.75" customHeight="1" x14ac:dyDescent="0.3">
      <c r="A175" s="1"/>
      <c r="B175" s="1"/>
      <c r="C175" s="29"/>
      <c r="D175" s="30"/>
      <c r="E175" s="40"/>
      <c r="F175" s="40"/>
      <c r="G175" s="32"/>
      <c r="H175" s="29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spans="1:36" ht="12.75" customHeight="1" x14ac:dyDescent="0.3">
      <c r="A176" s="1"/>
      <c r="B176" s="1"/>
      <c r="C176" s="29"/>
      <c r="D176" s="30"/>
      <c r="E176" s="40"/>
      <c r="F176" s="40"/>
      <c r="G176" s="32"/>
      <c r="H176" s="29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spans="1:36" ht="12.75" customHeight="1" x14ac:dyDescent="0.3">
      <c r="A177" s="1"/>
      <c r="B177" s="1"/>
      <c r="C177" s="29"/>
      <c r="D177" s="30"/>
      <c r="E177" s="40"/>
      <c r="F177" s="40"/>
      <c r="G177" s="32"/>
      <c r="H177" s="29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spans="1:36" ht="12.75" customHeight="1" x14ac:dyDescent="0.3">
      <c r="A178" s="1"/>
      <c r="B178" s="1"/>
      <c r="C178" s="29"/>
      <c r="D178" s="30"/>
      <c r="E178" s="40"/>
      <c r="F178" s="40"/>
      <c r="G178" s="32"/>
      <c r="H178" s="29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spans="1:36" ht="12.75" customHeight="1" x14ac:dyDescent="0.3">
      <c r="A179" s="1"/>
      <c r="B179" s="1"/>
      <c r="C179" s="29"/>
      <c r="D179" s="30"/>
      <c r="E179" s="40"/>
      <c r="F179" s="40"/>
      <c r="G179" s="32"/>
      <c r="H179" s="29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spans="1:36" ht="12.75" customHeight="1" x14ac:dyDescent="0.3">
      <c r="A180" s="1"/>
      <c r="B180" s="1"/>
      <c r="C180" s="29"/>
      <c r="D180" s="30"/>
      <c r="E180" s="40"/>
      <c r="F180" s="40"/>
      <c r="G180" s="32"/>
      <c r="H180" s="29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spans="1:36" ht="12.75" customHeight="1" x14ac:dyDescent="0.3">
      <c r="A181" s="1"/>
      <c r="B181" s="1"/>
      <c r="C181" s="29"/>
      <c r="D181" s="30"/>
      <c r="E181" s="40"/>
      <c r="F181" s="40"/>
      <c r="G181" s="32"/>
      <c r="H181" s="29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spans="1:36" ht="12.75" customHeight="1" x14ac:dyDescent="0.3">
      <c r="A182" s="1"/>
      <c r="B182" s="1"/>
      <c r="C182" s="29"/>
      <c r="D182" s="30"/>
      <c r="E182" s="40"/>
      <c r="F182" s="40"/>
      <c r="G182" s="32"/>
      <c r="H182" s="29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spans="1:36" ht="12.75" customHeight="1" x14ac:dyDescent="0.3">
      <c r="A183" s="1"/>
      <c r="B183" s="1"/>
      <c r="C183" s="29"/>
      <c r="D183" s="30"/>
      <c r="E183" s="40"/>
      <c r="F183" s="40"/>
      <c r="G183" s="32"/>
      <c r="H183" s="29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spans="1:36" ht="12.75" customHeight="1" x14ac:dyDescent="0.3">
      <c r="A184" s="1"/>
      <c r="B184" s="1"/>
      <c r="C184" s="29"/>
      <c r="D184" s="30"/>
      <c r="E184" s="40"/>
      <c r="F184" s="40"/>
      <c r="G184" s="32"/>
      <c r="H184" s="29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spans="1:36" ht="12.75" customHeight="1" x14ac:dyDescent="0.3">
      <c r="A185" s="1"/>
      <c r="B185" s="1"/>
      <c r="C185" s="29"/>
      <c r="D185" s="30"/>
      <c r="E185" s="40"/>
      <c r="F185" s="40"/>
      <c r="G185" s="32"/>
      <c r="H185" s="29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spans="1:36" ht="12.75" customHeight="1" x14ac:dyDescent="0.3">
      <c r="A186" s="1"/>
      <c r="B186" s="1"/>
      <c r="C186" s="29"/>
      <c r="D186" s="30"/>
      <c r="E186" s="40"/>
      <c r="F186" s="40"/>
      <c r="G186" s="32"/>
      <c r="H186" s="29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spans="1:36" ht="12.75" customHeight="1" x14ac:dyDescent="0.3">
      <c r="A187" s="1"/>
      <c r="B187" s="1"/>
      <c r="C187" s="29"/>
      <c r="D187" s="30"/>
      <c r="E187" s="40"/>
      <c r="F187" s="40"/>
      <c r="G187" s="32"/>
      <c r="H187" s="29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spans="1:36" ht="12.75" customHeight="1" x14ac:dyDescent="0.3">
      <c r="A188" s="1"/>
      <c r="B188" s="1"/>
      <c r="C188" s="29"/>
      <c r="D188" s="30"/>
      <c r="E188" s="40"/>
      <c r="F188" s="40"/>
      <c r="G188" s="32"/>
      <c r="H188" s="29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spans="1:36" ht="12.75" customHeight="1" x14ac:dyDescent="0.3">
      <c r="A189" s="1"/>
      <c r="B189" s="1"/>
      <c r="C189" s="29"/>
      <c r="D189" s="30"/>
      <c r="E189" s="40"/>
      <c r="F189" s="40"/>
      <c r="G189" s="32"/>
      <c r="H189" s="29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spans="1:36" ht="12.75" customHeight="1" x14ac:dyDescent="0.3">
      <c r="A190" s="1"/>
      <c r="B190" s="1"/>
      <c r="C190" s="29"/>
      <c r="D190" s="30"/>
      <c r="E190" s="40"/>
      <c r="F190" s="40"/>
      <c r="G190" s="32"/>
      <c r="H190" s="29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spans="1:36" ht="12.75" customHeight="1" x14ac:dyDescent="0.3">
      <c r="A191" s="1"/>
      <c r="B191" s="1"/>
      <c r="C191" s="29"/>
      <c r="D191" s="30"/>
      <c r="E191" s="40"/>
      <c r="F191" s="40"/>
      <c r="G191" s="32"/>
      <c r="H191" s="29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spans="1:36" ht="12.75" customHeight="1" x14ac:dyDescent="0.3">
      <c r="A192" s="1"/>
      <c r="B192" s="1"/>
      <c r="C192" s="29"/>
      <c r="D192" s="30"/>
      <c r="E192" s="40"/>
      <c r="F192" s="40"/>
      <c r="G192" s="32"/>
      <c r="H192" s="29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 spans="1:36" ht="12.75" customHeight="1" x14ac:dyDescent="0.3">
      <c r="A193" s="1"/>
      <c r="B193" s="1"/>
      <c r="C193" s="29"/>
      <c r="D193" s="30"/>
      <c r="E193" s="40"/>
      <c r="F193" s="40"/>
      <c r="G193" s="32"/>
      <c r="H193" s="29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 spans="1:36" ht="12.75" customHeight="1" x14ac:dyDescent="0.3">
      <c r="A194" s="1"/>
      <c r="B194" s="1"/>
      <c r="C194" s="29"/>
      <c r="D194" s="30"/>
      <c r="E194" s="40"/>
      <c r="F194" s="40"/>
      <c r="G194" s="32"/>
      <c r="H194" s="29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 spans="1:36" ht="12.75" customHeight="1" x14ac:dyDescent="0.3">
      <c r="A195" s="1"/>
      <c r="B195" s="1"/>
      <c r="C195" s="29"/>
      <c r="D195" s="30"/>
      <c r="E195" s="40"/>
      <c r="F195" s="40"/>
      <c r="G195" s="32"/>
      <c r="H195" s="29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 spans="1:36" ht="12.75" customHeight="1" x14ac:dyDescent="0.3">
      <c r="A196" s="1"/>
      <c r="B196" s="1"/>
      <c r="C196" s="29"/>
      <c r="D196" s="30"/>
      <c r="E196" s="40"/>
      <c r="F196" s="40"/>
      <c r="G196" s="32"/>
      <c r="H196" s="29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 spans="1:36" ht="12.75" customHeight="1" x14ac:dyDescent="0.3">
      <c r="A197" s="1"/>
      <c r="B197" s="1"/>
      <c r="C197" s="29"/>
      <c r="D197" s="30"/>
      <c r="E197" s="40"/>
      <c r="F197" s="40"/>
      <c r="G197" s="32"/>
      <c r="H197" s="29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 spans="1:36" ht="12.75" customHeight="1" x14ac:dyDescent="0.3">
      <c r="A198" s="1"/>
      <c r="B198" s="1"/>
      <c r="C198" s="29"/>
      <c r="D198" s="30"/>
      <c r="E198" s="40"/>
      <c r="F198" s="40"/>
      <c r="G198" s="32"/>
      <c r="H198" s="29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 spans="1:36" ht="12.75" customHeight="1" x14ac:dyDescent="0.3">
      <c r="A199" s="1"/>
      <c r="B199" s="1"/>
      <c r="C199" s="29"/>
      <c r="D199" s="30"/>
      <c r="E199" s="40"/>
      <c r="F199" s="40"/>
      <c r="G199" s="32"/>
      <c r="H199" s="29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 spans="1:36" ht="12.75" customHeight="1" x14ac:dyDescent="0.3">
      <c r="A200" s="1"/>
      <c r="B200" s="1"/>
      <c r="C200" s="29"/>
      <c r="D200" s="30"/>
      <c r="E200" s="40"/>
      <c r="F200" s="40"/>
      <c r="G200" s="32"/>
      <c r="H200" s="29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 spans="1:36" ht="12.75" customHeight="1" x14ac:dyDescent="0.3">
      <c r="A201" s="1"/>
      <c r="B201" s="1"/>
      <c r="C201" s="29"/>
      <c r="D201" s="30"/>
      <c r="E201" s="40"/>
      <c r="F201" s="40"/>
      <c r="G201" s="32"/>
      <c r="H201" s="29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 spans="1:36" ht="12.75" customHeight="1" x14ac:dyDescent="0.3">
      <c r="A202" s="1"/>
      <c r="B202" s="1"/>
      <c r="C202" s="29"/>
      <c r="D202" s="30"/>
      <c r="E202" s="40"/>
      <c r="F202" s="40"/>
      <c r="G202" s="32"/>
      <c r="H202" s="29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 spans="1:36" ht="12.75" customHeight="1" x14ac:dyDescent="0.3">
      <c r="A203" s="1"/>
      <c r="B203" s="1"/>
      <c r="C203" s="29"/>
      <c r="D203" s="30"/>
      <c r="E203" s="40"/>
      <c r="F203" s="40"/>
      <c r="G203" s="32"/>
      <c r="H203" s="29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 spans="1:36" ht="12.75" customHeight="1" x14ac:dyDescent="0.3">
      <c r="A204" s="1"/>
      <c r="B204" s="1"/>
      <c r="C204" s="29"/>
      <c r="D204" s="30"/>
      <c r="E204" s="40"/>
      <c r="F204" s="40"/>
      <c r="G204" s="32"/>
      <c r="H204" s="29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 spans="1:36" ht="12.75" customHeight="1" x14ac:dyDescent="0.3">
      <c r="A205" s="1"/>
      <c r="B205" s="1"/>
      <c r="C205" s="29"/>
      <c r="D205" s="30"/>
      <c r="E205" s="40"/>
      <c r="F205" s="40"/>
      <c r="G205" s="32"/>
      <c r="H205" s="29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 spans="1:36" ht="12.75" customHeight="1" x14ac:dyDescent="0.3">
      <c r="A206" s="1"/>
      <c r="B206" s="1"/>
      <c r="C206" s="29"/>
      <c r="D206" s="30"/>
      <c r="E206" s="40"/>
      <c r="F206" s="40"/>
      <c r="G206" s="32"/>
      <c r="H206" s="29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 spans="1:36" ht="12.75" customHeight="1" x14ac:dyDescent="0.3">
      <c r="A207" s="1"/>
      <c r="B207" s="1"/>
      <c r="C207" s="29"/>
      <c r="D207" s="30"/>
      <c r="E207" s="40"/>
      <c r="F207" s="40"/>
      <c r="G207" s="32"/>
      <c r="H207" s="29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 spans="1:36" ht="12.75" customHeight="1" x14ac:dyDescent="0.3">
      <c r="A208" s="1"/>
      <c r="B208" s="1"/>
      <c r="C208" s="29"/>
      <c r="D208" s="30"/>
      <c r="E208" s="40"/>
      <c r="F208" s="40"/>
      <c r="G208" s="32"/>
      <c r="H208" s="29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 spans="1:36" ht="12.75" customHeight="1" x14ac:dyDescent="0.3">
      <c r="A209" s="1"/>
      <c r="B209" s="1"/>
      <c r="C209" s="29"/>
      <c r="D209" s="30"/>
      <c r="E209" s="40"/>
      <c r="F209" s="40"/>
      <c r="G209" s="32"/>
      <c r="H209" s="29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 spans="1:36" ht="12.75" customHeight="1" x14ac:dyDescent="0.3">
      <c r="A210" s="1"/>
      <c r="B210" s="1"/>
      <c r="C210" s="29"/>
      <c r="D210" s="30"/>
      <c r="E210" s="40"/>
      <c r="F210" s="40"/>
      <c r="G210" s="32"/>
      <c r="H210" s="29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 spans="1:36" ht="12.75" customHeight="1" x14ac:dyDescent="0.3">
      <c r="A211" s="1"/>
      <c r="B211" s="1"/>
      <c r="C211" s="29"/>
      <c r="D211" s="30"/>
      <c r="E211" s="40"/>
      <c r="F211" s="40"/>
      <c r="G211" s="32"/>
      <c r="H211" s="29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 spans="1:36" ht="12.75" customHeight="1" x14ac:dyDescent="0.3">
      <c r="A212" s="1"/>
      <c r="B212" s="1"/>
      <c r="C212" s="29"/>
      <c r="D212" s="30"/>
      <c r="E212" s="40"/>
      <c r="F212" s="40"/>
      <c r="G212" s="32"/>
      <c r="H212" s="29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 spans="1:36" ht="12.75" customHeight="1" x14ac:dyDescent="0.3">
      <c r="A213" s="1"/>
      <c r="B213" s="1"/>
      <c r="C213" s="29"/>
      <c r="D213" s="30"/>
      <c r="E213" s="40"/>
      <c r="F213" s="40"/>
      <c r="G213" s="32"/>
      <c r="H213" s="29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 spans="1:36" ht="12.75" customHeight="1" x14ac:dyDescent="0.3">
      <c r="A214" s="1"/>
      <c r="B214" s="1"/>
      <c r="C214" s="29"/>
      <c r="D214" s="30"/>
      <c r="E214" s="40"/>
      <c r="F214" s="40"/>
      <c r="G214" s="32"/>
      <c r="H214" s="29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 spans="1:36" ht="12.75" customHeight="1" x14ac:dyDescent="0.3">
      <c r="A215" s="1"/>
      <c r="B215" s="1"/>
      <c r="C215" s="29"/>
      <c r="D215" s="30"/>
      <c r="E215" s="40"/>
      <c r="F215" s="40"/>
      <c r="G215" s="32"/>
      <c r="H215" s="29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 spans="1:36" ht="12.75" customHeight="1" x14ac:dyDescent="0.3">
      <c r="A216" s="1"/>
      <c r="B216" s="1"/>
      <c r="C216" s="29"/>
      <c r="D216" s="30"/>
      <c r="E216" s="40"/>
      <c r="F216" s="40"/>
      <c r="G216" s="32"/>
      <c r="H216" s="29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 spans="1:36" ht="12.75" customHeight="1" x14ac:dyDescent="0.3">
      <c r="A217" s="1"/>
      <c r="B217" s="1"/>
      <c r="C217" s="29"/>
      <c r="D217" s="30"/>
      <c r="E217" s="40"/>
      <c r="F217" s="40"/>
      <c r="G217" s="32"/>
      <c r="H217" s="29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 spans="1:36" ht="12.75" customHeight="1" x14ac:dyDescent="0.3">
      <c r="A218" s="1"/>
      <c r="B218" s="1"/>
      <c r="C218" s="29"/>
      <c r="D218" s="30"/>
      <c r="E218" s="40"/>
      <c r="F218" s="40"/>
      <c r="G218" s="32"/>
      <c r="H218" s="29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 spans="1:36" ht="12.75" customHeight="1" x14ac:dyDescent="0.3">
      <c r="A219" s="1"/>
      <c r="B219" s="1"/>
      <c r="C219" s="29"/>
      <c r="D219" s="30"/>
      <c r="E219" s="40"/>
      <c r="F219" s="40"/>
      <c r="G219" s="32"/>
      <c r="H219" s="29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 spans="1:36" ht="15.75" customHeight="1" x14ac:dyDescent="0.3">
      <c r="E220" s="40"/>
      <c r="F220" s="40"/>
      <c r="G220" s="32"/>
      <c r="H220" s="29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</row>
    <row r="221" spans="1:36" ht="15.75" customHeight="1" x14ac:dyDescent="0.3"/>
    <row r="222" spans="1:36" ht="15.75" customHeight="1" x14ac:dyDescent="0.3"/>
    <row r="223" spans="1:36" ht="15.75" customHeight="1" x14ac:dyDescent="0.3"/>
    <row r="224" spans="1:36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28">
    <mergeCell ref="D10:D19"/>
    <mergeCell ref="C10:C19"/>
    <mergeCell ref="B10:B19"/>
    <mergeCell ref="A10:A19"/>
    <mergeCell ref="E6:F8"/>
    <mergeCell ref="G6:G9"/>
    <mergeCell ref="H6:H9"/>
    <mergeCell ref="I6:Q6"/>
    <mergeCell ref="A6:A9"/>
    <mergeCell ref="B6:B9"/>
    <mergeCell ref="C6:C9"/>
    <mergeCell ref="D6:D9"/>
    <mergeCell ref="T6:AB6"/>
    <mergeCell ref="I7:Q7"/>
    <mergeCell ref="T7:AB7"/>
    <mergeCell ref="T8:W8"/>
    <mergeCell ref="X8:X9"/>
    <mergeCell ref="Y8:Y9"/>
    <mergeCell ref="Z8:Z9"/>
    <mergeCell ref="AA8:AA9"/>
    <mergeCell ref="AB8:AB9"/>
    <mergeCell ref="I8:L8"/>
    <mergeCell ref="M8:M9"/>
    <mergeCell ref="N8:N9"/>
    <mergeCell ref="O8:O9"/>
    <mergeCell ref="P8:P9"/>
    <mergeCell ref="Q8:Q9"/>
    <mergeCell ref="S8:S9"/>
  </mergeCells>
  <conditionalFormatting sqref="P20:P1000 AA5 AA8:AA9 P1:P9 P15 AA15">
    <cfRule type="cellIs" dxfId="67" priority="7" operator="equal">
      <formula>"No Aceptable"</formula>
    </cfRule>
  </conditionalFormatting>
  <conditionalFormatting sqref="P20:P1000 AA5 AA8:AA9 P1:P9 P15 AA15">
    <cfRule type="cellIs" dxfId="66" priority="8" operator="equal">
      <formula>"Importante"</formula>
    </cfRule>
  </conditionalFormatting>
  <conditionalFormatting sqref="P20:P1000 AA5 AA8:AA9 P1:P9 P15 AA15">
    <cfRule type="cellIs" dxfId="65" priority="9" operator="equal">
      <formula>"Moderado"</formula>
    </cfRule>
  </conditionalFormatting>
  <conditionalFormatting sqref="P20:P1000 AA5 AA8:AA9 P1:P9 P15 AA15">
    <cfRule type="cellIs" dxfId="64" priority="10" operator="equal">
      <formula>"Tolerable"</formula>
    </cfRule>
  </conditionalFormatting>
  <conditionalFormatting sqref="P20:P1000 AA5 AA8:AA9 P1:P9 P15 AA15">
    <cfRule type="cellIs" dxfId="63" priority="11" operator="equal">
      <formula>"Trivial"</formula>
    </cfRule>
  </conditionalFormatting>
  <conditionalFormatting sqref="G15">
    <cfRule type="expression" dxfId="62" priority="12">
      <formula>P15="No Aceptable"</formula>
    </cfRule>
  </conditionalFormatting>
  <conditionalFormatting sqref="A10">
    <cfRule type="expression" dxfId="61" priority="13">
      <formula>J15="No Aceptable"</formula>
    </cfRule>
  </conditionalFormatting>
  <conditionalFormatting sqref="P12 AA12">
    <cfRule type="cellIs" dxfId="60" priority="14" operator="equal">
      <formula>"No Aceptable"</formula>
    </cfRule>
  </conditionalFormatting>
  <conditionalFormatting sqref="P12 AA12">
    <cfRule type="cellIs" dxfId="59" priority="15" operator="equal">
      <formula>"Importante"</formula>
    </cfRule>
  </conditionalFormatting>
  <conditionalFormatting sqref="P12 AA12">
    <cfRule type="cellIs" dxfId="58" priority="16" operator="equal">
      <formula>"Moderado"</formula>
    </cfRule>
  </conditionalFormatting>
  <conditionalFormatting sqref="P12 AA12">
    <cfRule type="cellIs" dxfId="57" priority="17" operator="equal">
      <formula>"Tolerable"</formula>
    </cfRule>
  </conditionalFormatting>
  <conditionalFormatting sqref="P12 AA12">
    <cfRule type="cellIs" dxfId="56" priority="18" operator="equal">
      <formula>"Trivial"</formula>
    </cfRule>
  </conditionalFormatting>
  <conditionalFormatting sqref="G12">
    <cfRule type="expression" dxfId="55" priority="19">
      <formula>P12="No Aceptable"</formula>
    </cfRule>
  </conditionalFormatting>
  <conditionalFormatting sqref="P11 AA11">
    <cfRule type="cellIs" dxfId="54" priority="20" operator="equal">
      <formula>"No Aceptable"</formula>
    </cfRule>
  </conditionalFormatting>
  <conditionalFormatting sqref="P11 AA11">
    <cfRule type="cellIs" dxfId="53" priority="21" operator="equal">
      <formula>"Importante"</formula>
    </cfRule>
  </conditionalFormatting>
  <conditionalFormatting sqref="P11 AA11">
    <cfRule type="cellIs" dxfId="52" priority="22" operator="equal">
      <formula>"Moderado"</formula>
    </cfRule>
  </conditionalFormatting>
  <conditionalFormatting sqref="P11 AA11">
    <cfRule type="cellIs" dxfId="51" priority="23" operator="equal">
      <formula>"Tolerable"</formula>
    </cfRule>
  </conditionalFormatting>
  <conditionalFormatting sqref="P11 AA11">
    <cfRule type="cellIs" dxfId="50" priority="24" operator="equal">
      <formula>"Trivial"</formula>
    </cfRule>
  </conditionalFormatting>
  <conditionalFormatting sqref="G11">
    <cfRule type="expression" dxfId="49" priority="25">
      <formula>P11="No Aceptable"</formula>
    </cfRule>
  </conditionalFormatting>
  <conditionalFormatting sqref="P10 AA10">
    <cfRule type="cellIs" dxfId="48" priority="26" operator="equal">
      <formula>"No Aceptable"</formula>
    </cfRule>
  </conditionalFormatting>
  <conditionalFormatting sqref="P10 AA10">
    <cfRule type="cellIs" dxfId="47" priority="27" operator="equal">
      <formula>"Importante"</formula>
    </cfRule>
  </conditionalFormatting>
  <conditionalFormatting sqref="P10 AA10">
    <cfRule type="cellIs" dxfId="46" priority="28" operator="equal">
      <formula>"Moderado"</formula>
    </cfRule>
  </conditionalFormatting>
  <conditionalFormatting sqref="P10 AA10">
    <cfRule type="cellIs" dxfId="45" priority="29" operator="equal">
      <formula>"Tolerable"</formula>
    </cfRule>
  </conditionalFormatting>
  <conditionalFormatting sqref="P10 AA10">
    <cfRule type="cellIs" dxfId="44" priority="30" operator="equal">
      <formula>"Trivial"</formula>
    </cfRule>
  </conditionalFormatting>
  <conditionalFormatting sqref="G10">
    <cfRule type="expression" dxfId="43" priority="31">
      <formula>P10="No Aceptable"</formula>
    </cfRule>
  </conditionalFormatting>
  <conditionalFormatting sqref="P14 AA14">
    <cfRule type="cellIs" dxfId="42" priority="32" operator="equal">
      <formula>"No Aceptable"</formula>
    </cfRule>
  </conditionalFormatting>
  <conditionalFormatting sqref="P14 AA14">
    <cfRule type="cellIs" dxfId="41" priority="33" operator="equal">
      <formula>"Importante"</formula>
    </cfRule>
  </conditionalFormatting>
  <conditionalFormatting sqref="P14 AA14">
    <cfRule type="cellIs" dxfId="40" priority="34" operator="equal">
      <formula>"Moderado"</formula>
    </cfRule>
  </conditionalFormatting>
  <conditionalFormatting sqref="P14 AA14">
    <cfRule type="cellIs" dxfId="39" priority="35" operator="equal">
      <formula>"Tolerable"</formula>
    </cfRule>
  </conditionalFormatting>
  <conditionalFormatting sqref="P14 AA14">
    <cfRule type="cellIs" dxfId="38" priority="36" operator="equal">
      <formula>"Trivial"</formula>
    </cfRule>
  </conditionalFormatting>
  <conditionalFormatting sqref="G14">
    <cfRule type="expression" dxfId="37" priority="37">
      <formula>P14="No Aceptable"</formula>
    </cfRule>
  </conditionalFormatting>
  <conditionalFormatting sqref="P13 AA13">
    <cfRule type="cellIs" dxfId="36" priority="38" operator="equal">
      <formula>"No Aceptable"</formula>
    </cfRule>
  </conditionalFormatting>
  <conditionalFormatting sqref="P13 AA13">
    <cfRule type="cellIs" dxfId="35" priority="39" operator="equal">
      <formula>"Importante"</formula>
    </cfRule>
  </conditionalFormatting>
  <conditionalFormatting sqref="P13 AA13">
    <cfRule type="cellIs" dxfId="34" priority="40" operator="equal">
      <formula>"Moderado"</formula>
    </cfRule>
  </conditionalFormatting>
  <conditionalFormatting sqref="P13 AA13">
    <cfRule type="cellIs" dxfId="33" priority="41" operator="equal">
      <formula>"Tolerable"</formula>
    </cfRule>
  </conditionalFormatting>
  <conditionalFormatting sqref="P13 AA13">
    <cfRule type="cellIs" dxfId="32" priority="42" operator="equal">
      <formula>"Trivial"</formula>
    </cfRule>
  </conditionalFormatting>
  <conditionalFormatting sqref="G13">
    <cfRule type="expression" dxfId="31" priority="43">
      <formula>P13="No Aceptable"</formula>
    </cfRule>
  </conditionalFormatting>
  <conditionalFormatting sqref="P17 AA17">
    <cfRule type="cellIs" dxfId="30" priority="44" operator="equal">
      <formula>"No Aceptable"</formula>
    </cfRule>
  </conditionalFormatting>
  <conditionalFormatting sqref="P17 AA17">
    <cfRule type="cellIs" dxfId="29" priority="45" operator="equal">
      <formula>"Importante"</formula>
    </cfRule>
  </conditionalFormatting>
  <conditionalFormatting sqref="P17 AA17">
    <cfRule type="cellIs" dxfId="28" priority="46" operator="equal">
      <formula>"Moderado"</formula>
    </cfRule>
  </conditionalFormatting>
  <conditionalFormatting sqref="P17 AA17">
    <cfRule type="cellIs" dxfId="27" priority="47" operator="equal">
      <formula>"Tolerable"</formula>
    </cfRule>
  </conditionalFormatting>
  <conditionalFormatting sqref="P17 AA17">
    <cfRule type="cellIs" dxfId="26" priority="48" operator="equal">
      <formula>"Trivial"</formula>
    </cfRule>
  </conditionalFormatting>
  <conditionalFormatting sqref="G17">
    <cfRule type="expression" dxfId="25" priority="49">
      <formula>P17="No Aceptable"</formula>
    </cfRule>
  </conditionalFormatting>
  <conditionalFormatting sqref="P19 AA19">
    <cfRule type="cellIs" dxfId="24" priority="50" operator="equal">
      <formula>"No Aceptable"</formula>
    </cfRule>
  </conditionalFormatting>
  <conditionalFormatting sqref="P19 AA19">
    <cfRule type="cellIs" dxfId="23" priority="51" operator="equal">
      <formula>"Importante"</formula>
    </cfRule>
  </conditionalFormatting>
  <conditionalFormatting sqref="P19 AA19">
    <cfRule type="cellIs" dxfId="22" priority="52" operator="equal">
      <formula>"Moderado"</formula>
    </cfRule>
  </conditionalFormatting>
  <conditionalFormatting sqref="P19 AA19">
    <cfRule type="cellIs" dxfId="21" priority="53" operator="equal">
      <formula>"Tolerable"</formula>
    </cfRule>
  </conditionalFormatting>
  <conditionalFormatting sqref="P19 AA19">
    <cfRule type="cellIs" dxfId="20" priority="54" operator="equal">
      <formula>"Trivial"</formula>
    </cfRule>
  </conditionalFormatting>
  <conditionalFormatting sqref="G19">
    <cfRule type="expression" dxfId="19" priority="55">
      <formula>P19="No Aceptable"</formula>
    </cfRule>
  </conditionalFormatting>
  <conditionalFormatting sqref="G18">
    <cfRule type="expression" dxfId="18" priority="56">
      <formula>P18="No Aceptable"</formula>
    </cfRule>
  </conditionalFormatting>
  <conditionalFormatting sqref="P18 AA18">
    <cfRule type="cellIs" dxfId="17" priority="57" operator="equal">
      <formula>"No Aceptable"</formula>
    </cfRule>
  </conditionalFormatting>
  <conditionalFormatting sqref="P18 AA18">
    <cfRule type="cellIs" dxfId="16" priority="58" operator="equal">
      <formula>"Importante"</formula>
    </cfRule>
  </conditionalFormatting>
  <conditionalFormatting sqref="P18 AA18">
    <cfRule type="cellIs" dxfId="15" priority="59" operator="equal">
      <formula>"Moderado"</formula>
    </cfRule>
  </conditionalFormatting>
  <conditionalFormatting sqref="P18 AA18">
    <cfRule type="cellIs" dxfId="14" priority="60" operator="equal">
      <formula>"Tolerable"</formula>
    </cfRule>
  </conditionalFormatting>
  <conditionalFormatting sqref="P18 AA18">
    <cfRule type="cellIs" dxfId="13" priority="61" operator="equal">
      <formula>"Trivial"</formula>
    </cfRule>
  </conditionalFormatting>
  <conditionalFormatting sqref="P16 AA16">
    <cfRule type="cellIs" dxfId="12" priority="1" operator="equal">
      <formula>"No Aceptable"</formula>
    </cfRule>
  </conditionalFormatting>
  <conditionalFormatting sqref="P16 AA16">
    <cfRule type="cellIs" dxfId="11" priority="2" operator="equal">
      <formula>"Importante"</formula>
    </cfRule>
  </conditionalFormatting>
  <conditionalFormatting sqref="P16 AA16">
    <cfRule type="cellIs" dxfId="10" priority="3" operator="equal">
      <formula>"Moderado"</formula>
    </cfRule>
  </conditionalFormatting>
  <conditionalFormatting sqref="P16 AA16">
    <cfRule type="cellIs" dxfId="9" priority="4" operator="equal">
      <formula>"Tolerable"</formula>
    </cfRule>
  </conditionalFormatting>
  <conditionalFormatting sqref="P16 AA16">
    <cfRule type="cellIs" dxfId="8" priority="5" operator="equal">
      <formula>"Trivial"</formula>
    </cfRule>
  </conditionalFormatting>
  <conditionalFormatting sqref="G16">
    <cfRule type="expression" dxfId="7" priority="6">
      <formula>P16="No Aceptable"</formula>
    </cfRule>
  </conditionalFormatting>
  <pageMargins left="0.19685039370078741" right="0.19685039370078741" top="0.15748031496062992" bottom="0.15748031496062992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999"/>
  <sheetViews>
    <sheetView showGridLines="0" zoomScale="60" zoomScaleNormal="60" workbookViewId="0">
      <pane ySplit="10" topLeftCell="A11" activePane="bottomLeft" state="frozen"/>
      <selection pane="bottomLeft" activeCell="H7" sqref="H7:H10"/>
    </sheetView>
  </sheetViews>
  <sheetFormatPr baseColWidth="10" defaultColWidth="14.44140625" defaultRowHeight="15" customHeight="1" x14ac:dyDescent="0.3"/>
  <cols>
    <col min="1" max="1" width="5.44140625" customWidth="1"/>
    <col min="2" max="2" width="18.33203125" customWidth="1"/>
    <col min="3" max="3" width="25.5546875" customWidth="1"/>
    <col min="4" max="4" width="27.6640625" customWidth="1"/>
    <col min="5" max="6" width="6.33203125" customWidth="1"/>
    <col min="7" max="7" width="50.33203125" customWidth="1"/>
    <col min="8" max="8" width="42" customWidth="1"/>
    <col min="9" max="15" width="11.6640625" customWidth="1"/>
    <col min="16" max="17" width="14.6640625" customWidth="1"/>
    <col min="18" max="18" width="62.44140625" customWidth="1"/>
    <col min="19" max="19" width="39" customWidth="1"/>
    <col min="20" max="20" width="15.109375" customWidth="1"/>
    <col min="21" max="21" width="14.6640625" customWidth="1"/>
    <col min="22" max="22" width="15.6640625" customWidth="1"/>
    <col min="23" max="23" width="15.88671875" customWidth="1"/>
    <col min="24" max="24" width="15.6640625" customWidth="1"/>
    <col min="25" max="25" width="13.5546875" customWidth="1"/>
    <col min="27" max="27" width="26.5546875" customWidth="1"/>
    <col min="28" max="28" width="15.5546875" customWidth="1"/>
    <col min="29" max="36" width="43.88671875" customWidth="1"/>
  </cols>
  <sheetData>
    <row r="1" spans="1:36" ht="12.75" customHeight="1" x14ac:dyDescent="0.3">
      <c r="A1" s="1"/>
      <c r="B1" s="1"/>
      <c r="C1" s="29"/>
      <c r="D1" s="30"/>
      <c r="E1" s="31"/>
      <c r="F1" s="31"/>
      <c r="G1" s="32"/>
      <c r="H1" s="2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</row>
    <row r="2" spans="1:36" ht="7.5" customHeight="1" x14ac:dyDescent="0.3">
      <c r="A2" s="1"/>
      <c r="B2" s="1"/>
      <c r="C2" s="29"/>
      <c r="D2" s="30"/>
      <c r="E2" s="31"/>
      <c r="F2" s="31"/>
      <c r="G2" s="32"/>
      <c r="H2" s="29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6" ht="12.75" customHeight="1" x14ac:dyDescent="0.4">
      <c r="A3" s="34"/>
      <c r="B3" s="34"/>
      <c r="C3" s="34"/>
      <c r="D3" s="34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6"/>
      <c r="S3" s="36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</row>
    <row r="4" spans="1:36" ht="12.75" customHeight="1" x14ac:dyDescent="0.4">
      <c r="A4" s="34"/>
      <c r="B4" s="34"/>
      <c r="C4" s="34"/>
      <c r="D4" s="34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6"/>
      <c r="S4" s="36"/>
      <c r="T4" s="37"/>
      <c r="U4" s="37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37"/>
      <c r="AH4" s="37"/>
      <c r="AI4" s="37"/>
      <c r="AJ4" s="37"/>
    </row>
    <row r="5" spans="1:36" ht="52.2" customHeight="1" x14ac:dyDescent="0.4">
      <c r="A5" s="34"/>
      <c r="B5" s="34"/>
      <c r="C5" s="34"/>
      <c r="D5" s="34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2"/>
      <c r="S5" s="2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</row>
    <row r="6" spans="1:36" ht="34.200000000000003" customHeight="1" x14ac:dyDescent="0.3">
      <c r="A6" s="34"/>
      <c r="B6" s="102" t="s">
        <v>246</v>
      </c>
      <c r="C6" s="103"/>
      <c r="D6" s="103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2"/>
      <c r="S6" s="2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</row>
    <row r="7" spans="1:36" ht="17.25" customHeight="1" x14ac:dyDescent="0.3">
      <c r="A7" s="84" t="s">
        <v>0</v>
      </c>
      <c r="B7" s="84" t="s">
        <v>1</v>
      </c>
      <c r="C7" s="84" t="s">
        <v>2</v>
      </c>
      <c r="D7" s="84" t="s">
        <v>3</v>
      </c>
      <c r="E7" s="87" t="s">
        <v>4</v>
      </c>
      <c r="F7" s="88"/>
      <c r="G7" s="84" t="s">
        <v>199</v>
      </c>
      <c r="H7" s="94" t="s">
        <v>5</v>
      </c>
      <c r="I7" s="77" t="s">
        <v>6</v>
      </c>
      <c r="J7" s="78"/>
      <c r="K7" s="78"/>
      <c r="L7" s="78"/>
      <c r="M7" s="78"/>
      <c r="N7" s="78"/>
      <c r="O7" s="78"/>
      <c r="P7" s="78"/>
      <c r="Q7" s="79"/>
      <c r="R7" s="3"/>
      <c r="S7" s="3"/>
      <c r="T7" s="77"/>
      <c r="U7" s="78"/>
      <c r="V7" s="78"/>
      <c r="W7" s="78"/>
      <c r="X7" s="78"/>
      <c r="Y7" s="78"/>
      <c r="Z7" s="78"/>
      <c r="AA7" s="78"/>
      <c r="AB7" s="79"/>
      <c r="AC7" s="3"/>
      <c r="AD7" s="4"/>
      <c r="AE7" s="4"/>
      <c r="AF7" s="4"/>
      <c r="AG7" s="4"/>
      <c r="AH7" s="4"/>
      <c r="AI7" s="4"/>
      <c r="AJ7" s="4"/>
    </row>
    <row r="8" spans="1:36" ht="15" customHeight="1" x14ac:dyDescent="0.3">
      <c r="A8" s="85"/>
      <c r="B8" s="85"/>
      <c r="C8" s="85"/>
      <c r="D8" s="85"/>
      <c r="E8" s="89"/>
      <c r="F8" s="90"/>
      <c r="G8" s="85"/>
      <c r="H8" s="85"/>
      <c r="I8" s="77" t="s">
        <v>6</v>
      </c>
      <c r="J8" s="78"/>
      <c r="K8" s="78"/>
      <c r="L8" s="78"/>
      <c r="M8" s="78"/>
      <c r="N8" s="78"/>
      <c r="O8" s="78"/>
      <c r="P8" s="78"/>
      <c r="Q8" s="79"/>
      <c r="R8" s="5"/>
      <c r="S8" s="5"/>
      <c r="T8" s="77" t="s">
        <v>7</v>
      </c>
      <c r="U8" s="78"/>
      <c r="V8" s="78"/>
      <c r="W8" s="78"/>
      <c r="X8" s="78"/>
      <c r="Y8" s="78"/>
      <c r="Z8" s="78"/>
      <c r="AA8" s="78"/>
      <c r="AB8" s="79"/>
      <c r="AC8" s="5"/>
      <c r="AD8" s="4"/>
      <c r="AE8" s="4"/>
      <c r="AF8" s="4"/>
      <c r="AG8" s="4"/>
      <c r="AH8" s="4"/>
      <c r="AI8" s="4"/>
      <c r="AJ8" s="4"/>
    </row>
    <row r="9" spans="1:36" ht="62.25" customHeight="1" x14ac:dyDescent="0.3">
      <c r="A9" s="85"/>
      <c r="B9" s="85"/>
      <c r="C9" s="85"/>
      <c r="D9" s="85"/>
      <c r="E9" s="91"/>
      <c r="F9" s="92"/>
      <c r="G9" s="85"/>
      <c r="H9" s="85"/>
      <c r="I9" s="80" t="s">
        <v>8</v>
      </c>
      <c r="J9" s="78"/>
      <c r="K9" s="78"/>
      <c r="L9" s="79"/>
      <c r="M9" s="81" t="s">
        <v>9</v>
      </c>
      <c r="N9" s="81" t="s">
        <v>10</v>
      </c>
      <c r="O9" s="81" t="s">
        <v>11</v>
      </c>
      <c r="P9" s="81" t="s">
        <v>12</v>
      </c>
      <c r="Q9" s="81" t="s">
        <v>13</v>
      </c>
      <c r="R9" s="5" t="s">
        <v>14</v>
      </c>
      <c r="S9" s="83" t="s">
        <v>15</v>
      </c>
      <c r="T9" s="80" t="s">
        <v>8</v>
      </c>
      <c r="U9" s="78"/>
      <c r="V9" s="78"/>
      <c r="W9" s="79"/>
      <c r="X9" s="81" t="s">
        <v>9</v>
      </c>
      <c r="Y9" s="81" t="s">
        <v>10</v>
      </c>
      <c r="Z9" s="81" t="s">
        <v>11</v>
      </c>
      <c r="AA9" s="81" t="s">
        <v>12</v>
      </c>
      <c r="AB9" s="81" t="s">
        <v>13</v>
      </c>
      <c r="AC9" s="5" t="s">
        <v>16</v>
      </c>
      <c r="AD9" s="4"/>
      <c r="AE9" s="4"/>
      <c r="AF9" s="4"/>
      <c r="AG9" s="4"/>
      <c r="AH9" s="4"/>
      <c r="AI9" s="4"/>
      <c r="AJ9" s="4"/>
    </row>
    <row r="10" spans="1:36" ht="69" customHeight="1" x14ac:dyDescent="0.3">
      <c r="A10" s="82"/>
      <c r="B10" s="86"/>
      <c r="C10" s="82"/>
      <c r="D10" s="82"/>
      <c r="E10" s="6" t="s">
        <v>17</v>
      </c>
      <c r="F10" s="7" t="s">
        <v>18</v>
      </c>
      <c r="G10" s="86"/>
      <c r="H10" s="86"/>
      <c r="I10" s="8" t="s">
        <v>19</v>
      </c>
      <c r="J10" s="8" t="s">
        <v>20</v>
      </c>
      <c r="K10" s="8" t="s">
        <v>21</v>
      </c>
      <c r="L10" s="8" t="s">
        <v>22</v>
      </c>
      <c r="M10" s="82"/>
      <c r="N10" s="82"/>
      <c r="O10" s="82"/>
      <c r="P10" s="82"/>
      <c r="Q10" s="82"/>
      <c r="R10" s="5"/>
      <c r="S10" s="82"/>
      <c r="T10" s="8" t="s">
        <v>19</v>
      </c>
      <c r="U10" s="8" t="s">
        <v>20</v>
      </c>
      <c r="V10" s="8" t="s">
        <v>21</v>
      </c>
      <c r="W10" s="8" t="s">
        <v>22</v>
      </c>
      <c r="X10" s="82"/>
      <c r="Y10" s="82"/>
      <c r="Z10" s="82"/>
      <c r="AA10" s="82"/>
      <c r="AB10" s="82"/>
      <c r="AC10" s="5"/>
      <c r="AD10" s="4"/>
      <c r="AE10" s="4"/>
      <c r="AF10" s="4"/>
      <c r="AG10" s="4"/>
      <c r="AH10" s="4"/>
      <c r="AI10" s="4"/>
      <c r="AJ10" s="4"/>
    </row>
    <row r="11" spans="1:36" ht="87.75" customHeight="1" x14ac:dyDescent="0.3">
      <c r="A11" s="100">
        <v>6</v>
      </c>
      <c r="B11" s="42"/>
      <c r="C11" s="105" t="s">
        <v>137</v>
      </c>
      <c r="D11" s="100" t="s">
        <v>200</v>
      </c>
      <c r="E11" s="21" t="s">
        <v>26</v>
      </c>
      <c r="F11" s="21"/>
      <c r="G11" s="22" t="s">
        <v>138</v>
      </c>
      <c r="H11" s="14" t="s">
        <v>139</v>
      </c>
      <c r="I11" s="22">
        <v>3</v>
      </c>
      <c r="J11" s="22">
        <v>2</v>
      </c>
      <c r="K11" s="22">
        <v>2</v>
      </c>
      <c r="L11" s="22">
        <v>3</v>
      </c>
      <c r="M11" s="10">
        <f t="shared" ref="M11:M30" si="0">I11+J11+K11+L11</f>
        <v>10</v>
      </c>
      <c r="N11" s="22">
        <v>2</v>
      </c>
      <c r="O11" s="11">
        <f t="shared" ref="O11:O30" si="1">M11*N11</f>
        <v>20</v>
      </c>
      <c r="P11" s="12" t="str">
        <f t="shared" ref="P11:P30" si="2">IF(G11="No","It",IF(O11&lt;=4,"Trivial",IF(O11&lt;=8,"Tolerable",IF(O11&lt;=16,"Moderado",IF(O11&lt;=24,"Importante",IF(O11&lt;=36,"No Aceptable"))))))</f>
        <v>Importante</v>
      </c>
      <c r="Q11" s="12" t="str">
        <f t="shared" ref="Q11:Q30" si="3">IF(P11="Trivial","NO",IF(P11="Tolerable","NO",IF(P11="Moderado","NO",IF(P11="Importante","SÍ",IF(P11="No Aceptable","SÍ")))))</f>
        <v>SÍ</v>
      </c>
      <c r="R11" s="13" t="s">
        <v>110</v>
      </c>
      <c r="S11" s="14" t="s">
        <v>140</v>
      </c>
      <c r="T11" s="22">
        <v>3</v>
      </c>
      <c r="U11" s="22">
        <v>1</v>
      </c>
      <c r="V11" s="22">
        <v>1</v>
      </c>
      <c r="W11" s="22">
        <v>1</v>
      </c>
      <c r="X11" s="10">
        <f t="shared" ref="X11:X30" si="4">T11+U11+V11+W11</f>
        <v>6</v>
      </c>
      <c r="Y11" s="22">
        <v>2</v>
      </c>
      <c r="Z11" s="11">
        <f t="shared" ref="Z11:Z30" si="5">X11*Y11</f>
        <v>12</v>
      </c>
      <c r="AA11" s="12" t="str">
        <f t="shared" ref="AA11:AA30" si="6">IF(R11="No","It",IF(Z11&lt;=4,"Trivial",IF(Z11&lt;=8,"Tolerable",IF(Z11&lt;=16,"Moderado",IF(Z11&lt;=24,"Importante",IF(Z11&lt;=36,"No Aceptable"))))))</f>
        <v>Moderado</v>
      </c>
      <c r="AB11" s="12" t="str">
        <f t="shared" ref="AB11:AB29" si="7">IF(AA11="Trivial","NO",IF(AA11="Tolerable","NO",IF(AA11="Moderado","NO",IF(AA11="Importante","SÍ",IF(AA11="No Aceptable","SÍ")))))</f>
        <v>NO</v>
      </c>
      <c r="AC11" s="13" t="s">
        <v>112</v>
      </c>
      <c r="AD11" s="15"/>
      <c r="AE11" s="15"/>
      <c r="AF11" s="15"/>
      <c r="AG11" s="15"/>
      <c r="AH11" s="15"/>
      <c r="AI11" s="15"/>
      <c r="AJ11" s="15"/>
    </row>
    <row r="12" spans="1:36" ht="51" customHeight="1" x14ac:dyDescent="0.3">
      <c r="A12" s="101"/>
      <c r="B12" s="42"/>
      <c r="C12" s="106"/>
      <c r="D12" s="101"/>
      <c r="E12" s="21" t="s">
        <v>26</v>
      </c>
      <c r="F12" s="21"/>
      <c r="G12" s="43" t="s">
        <v>141</v>
      </c>
      <c r="H12" s="28" t="s">
        <v>142</v>
      </c>
      <c r="I12" s="22">
        <v>1</v>
      </c>
      <c r="J12" s="22">
        <v>2</v>
      </c>
      <c r="K12" s="22">
        <v>1</v>
      </c>
      <c r="L12" s="22">
        <v>3</v>
      </c>
      <c r="M12" s="10">
        <f t="shared" si="0"/>
        <v>7</v>
      </c>
      <c r="N12" s="22">
        <v>2</v>
      </c>
      <c r="O12" s="11">
        <f t="shared" si="1"/>
        <v>14</v>
      </c>
      <c r="P12" s="12" t="str">
        <f t="shared" si="2"/>
        <v>Moderado</v>
      </c>
      <c r="Q12" s="12" t="str">
        <f t="shared" si="3"/>
        <v>NO</v>
      </c>
      <c r="R12" s="23" t="s">
        <v>143</v>
      </c>
      <c r="S12" s="14" t="s">
        <v>99</v>
      </c>
      <c r="T12" s="22">
        <v>1</v>
      </c>
      <c r="U12" s="22">
        <v>1</v>
      </c>
      <c r="V12" s="22">
        <v>1</v>
      </c>
      <c r="W12" s="22">
        <v>3</v>
      </c>
      <c r="X12" s="10">
        <f t="shared" si="4"/>
        <v>6</v>
      </c>
      <c r="Y12" s="22">
        <v>1</v>
      </c>
      <c r="Z12" s="11">
        <f t="shared" si="5"/>
        <v>6</v>
      </c>
      <c r="AA12" s="12" t="str">
        <f t="shared" si="6"/>
        <v>Tolerable</v>
      </c>
      <c r="AB12" s="12" t="str">
        <f t="shared" si="7"/>
        <v>NO</v>
      </c>
      <c r="AC12" s="13" t="s">
        <v>144</v>
      </c>
      <c r="AD12" s="15"/>
      <c r="AE12" s="15"/>
      <c r="AF12" s="15"/>
      <c r="AG12" s="15"/>
      <c r="AH12" s="15"/>
      <c r="AI12" s="15"/>
      <c r="AJ12" s="15"/>
    </row>
    <row r="13" spans="1:36" ht="63.75" customHeight="1" x14ac:dyDescent="0.3">
      <c r="A13" s="101"/>
      <c r="B13" s="42"/>
      <c r="C13" s="106"/>
      <c r="D13" s="101"/>
      <c r="E13" s="21" t="s">
        <v>26</v>
      </c>
      <c r="F13" s="21"/>
      <c r="G13" s="63" t="s">
        <v>145</v>
      </c>
      <c r="H13" s="14" t="s">
        <v>146</v>
      </c>
      <c r="I13" s="22">
        <v>3</v>
      </c>
      <c r="J13" s="22">
        <v>1</v>
      </c>
      <c r="K13" s="22">
        <v>2</v>
      </c>
      <c r="L13" s="22">
        <v>2</v>
      </c>
      <c r="M13" s="10">
        <f t="shared" si="0"/>
        <v>8</v>
      </c>
      <c r="N13" s="22">
        <v>3</v>
      </c>
      <c r="O13" s="11">
        <f t="shared" si="1"/>
        <v>24</v>
      </c>
      <c r="P13" s="12" t="str">
        <f t="shared" si="2"/>
        <v>Importante</v>
      </c>
      <c r="Q13" s="12" t="str">
        <f t="shared" si="3"/>
        <v>SÍ</v>
      </c>
      <c r="R13" s="13" t="s">
        <v>147</v>
      </c>
      <c r="S13" s="14" t="s">
        <v>148</v>
      </c>
      <c r="T13" s="22">
        <v>3</v>
      </c>
      <c r="U13" s="22">
        <v>1</v>
      </c>
      <c r="V13" s="22">
        <v>1</v>
      </c>
      <c r="W13" s="22">
        <v>3</v>
      </c>
      <c r="X13" s="10">
        <f t="shared" si="4"/>
        <v>8</v>
      </c>
      <c r="Y13" s="22">
        <v>3</v>
      </c>
      <c r="Z13" s="11">
        <f t="shared" si="5"/>
        <v>24</v>
      </c>
      <c r="AA13" s="12" t="str">
        <f t="shared" si="6"/>
        <v>Importante</v>
      </c>
      <c r="AB13" s="12" t="str">
        <f t="shared" si="7"/>
        <v>SÍ</v>
      </c>
      <c r="AC13" s="13" t="s">
        <v>149</v>
      </c>
      <c r="AD13" s="15"/>
      <c r="AE13" s="15"/>
      <c r="AF13" s="15"/>
      <c r="AG13" s="15"/>
      <c r="AH13" s="15"/>
      <c r="AI13" s="15"/>
      <c r="AJ13" s="15"/>
    </row>
    <row r="14" spans="1:36" ht="51.75" customHeight="1" x14ac:dyDescent="0.3">
      <c r="A14" s="101"/>
      <c r="B14" s="98" t="s">
        <v>150</v>
      </c>
      <c r="C14" s="106"/>
      <c r="D14" s="101"/>
      <c r="E14" s="21" t="s">
        <v>26</v>
      </c>
      <c r="F14" s="21"/>
      <c r="G14" s="22" t="s">
        <v>151</v>
      </c>
      <c r="H14" s="14" t="s">
        <v>152</v>
      </c>
      <c r="I14" s="22">
        <v>3</v>
      </c>
      <c r="J14" s="22">
        <v>2</v>
      </c>
      <c r="K14" s="22">
        <v>1</v>
      </c>
      <c r="L14" s="22">
        <v>3</v>
      </c>
      <c r="M14" s="10">
        <f t="shared" si="0"/>
        <v>9</v>
      </c>
      <c r="N14" s="22">
        <v>1</v>
      </c>
      <c r="O14" s="11">
        <f t="shared" si="1"/>
        <v>9</v>
      </c>
      <c r="P14" s="12" t="str">
        <f t="shared" si="2"/>
        <v>Moderado</v>
      </c>
      <c r="Q14" s="12" t="str">
        <f t="shared" si="3"/>
        <v>NO</v>
      </c>
      <c r="R14" s="13" t="s">
        <v>153</v>
      </c>
      <c r="S14" s="14" t="s">
        <v>154</v>
      </c>
      <c r="T14" s="22">
        <v>3</v>
      </c>
      <c r="U14" s="22">
        <v>1</v>
      </c>
      <c r="V14" s="22">
        <v>1</v>
      </c>
      <c r="W14" s="22">
        <v>3</v>
      </c>
      <c r="X14" s="10">
        <f t="shared" si="4"/>
        <v>8</v>
      </c>
      <c r="Y14" s="22">
        <v>1</v>
      </c>
      <c r="Z14" s="11">
        <f t="shared" si="5"/>
        <v>8</v>
      </c>
      <c r="AA14" s="12" t="str">
        <f t="shared" si="6"/>
        <v>Tolerable</v>
      </c>
      <c r="AB14" s="12" t="str">
        <f t="shared" si="7"/>
        <v>NO</v>
      </c>
      <c r="AC14" s="13" t="s">
        <v>31</v>
      </c>
      <c r="AD14" s="15"/>
      <c r="AE14" s="15"/>
      <c r="AF14" s="15"/>
      <c r="AG14" s="15"/>
      <c r="AH14" s="15"/>
      <c r="AI14" s="15"/>
      <c r="AJ14" s="15"/>
    </row>
    <row r="15" spans="1:36" ht="32.25" customHeight="1" x14ac:dyDescent="0.3">
      <c r="A15" s="101"/>
      <c r="B15" s="98"/>
      <c r="C15" s="106"/>
      <c r="D15" s="101"/>
      <c r="E15" s="21" t="s">
        <v>26</v>
      </c>
      <c r="F15" s="21"/>
      <c r="G15" s="22" t="s">
        <v>155</v>
      </c>
      <c r="H15" s="14" t="s">
        <v>156</v>
      </c>
      <c r="I15" s="22">
        <v>3</v>
      </c>
      <c r="J15" s="22">
        <v>1</v>
      </c>
      <c r="K15" s="22">
        <v>1</v>
      </c>
      <c r="L15" s="22">
        <v>3</v>
      </c>
      <c r="M15" s="10">
        <f t="shared" si="0"/>
        <v>8</v>
      </c>
      <c r="N15" s="22">
        <v>1</v>
      </c>
      <c r="O15" s="11">
        <f t="shared" si="1"/>
        <v>8</v>
      </c>
      <c r="P15" s="12" t="str">
        <f t="shared" si="2"/>
        <v>Tolerable</v>
      </c>
      <c r="Q15" s="12" t="str">
        <f t="shared" si="3"/>
        <v>NO</v>
      </c>
      <c r="R15" s="13" t="s">
        <v>157</v>
      </c>
      <c r="S15" s="14" t="s">
        <v>99</v>
      </c>
      <c r="T15" s="22">
        <v>3</v>
      </c>
      <c r="U15" s="22">
        <v>1</v>
      </c>
      <c r="V15" s="22">
        <v>1</v>
      </c>
      <c r="W15" s="22">
        <v>3</v>
      </c>
      <c r="X15" s="10">
        <f t="shared" si="4"/>
        <v>8</v>
      </c>
      <c r="Y15" s="22">
        <v>1</v>
      </c>
      <c r="Z15" s="11">
        <f t="shared" si="5"/>
        <v>8</v>
      </c>
      <c r="AA15" s="12" t="str">
        <f t="shared" si="6"/>
        <v>Tolerable</v>
      </c>
      <c r="AB15" s="12" t="str">
        <f t="shared" si="7"/>
        <v>NO</v>
      </c>
      <c r="AC15" s="13" t="s">
        <v>104</v>
      </c>
      <c r="AD15" s="15"/>
      <c r="AE15" s="15"/>
      <c r="AF15" s="15"/>
      <c r="AG15" s="15"/>
      <c r="AH15" s="15"/>
      <c r="AI15" s="15"/>
      <c r="AJ15" s="15"/>
    </row>
    <row r="16" spans="1:36" ht="72" customHeight="1" x14ac:dyDescent="0.3">
      <c r="A16" s="101"/>
      <c r="B16" s="98"/>
      <c r="C16" s="106"/>
      <c r="D16" s="101"/>
      <c r="E16" s="21" t="s">
        <v>26</v>
      </c>
      <c r="F16" s="21"/>
      <c r="G16" s="22" t="s">
        <v>50</v>
      </c>
      <c r="H16" s="20" t="s">
        <v>158</v>
      </c>
      <c r="I16" s="22">
        <v>3</v>
      </c>
      <c r="J16" s="22">
        <v>1</v>
      </c>
      <c r="K16" s="22">
        <v>1</v>
      </c>
      <c r="L16" s="22">
        <v>3</v>
      </c>
      <c r="M16" s="10">
        <f t="shared" si="0"/>
        <v>8</v>
      </c>
      <c r="N16" s="22">
        <v>1</v>
      </c>
      <c r="O16" s="11">
        <f t="shared" si="1"/>
        <v>8</v>
      </c>
      <c r="P16" s="12" t="str">
        <f t="shared" si="2"/>
        <v>Tolerable</v>
      </c>
      <c r="Q16" s="12" t="str">
        <f t="shared" si="3"/>
        <v>NO</v>
      </c>
      <c r="R16" s="13" t="s">
        <v>52</v>
      </c>
      <c r="S16" s="14" t="s">
        <v>99</v>
      </c>
      <c r="T16" s="22">
        <v>3</v>
      </c>
      <c r="U16" s="22">
        <v>1</v>
      </c>
      <c r="V16" s="22">
        <v>1</v>
      </c>
      <c r="W16" s="22">
        <v>3</v>
      </c>
      <c r="X16" s="10">
        <f t="shared" si="4"/>
        <v>8</v>
      </c>
      <c r="Y16" s="22">
        <v>1</v>
      </c>
      <c r="Z16" s="11">
        <f t="shared" si="5"/>
        <v>8</v>
      </c>
      <c r="AA16" s="12" t="str">
        <f t="shared" si="6"/>
        <v>Tolerable</v>
      </c>
      <c r="AB16" s="12" t="str">
        <f t="shared" si="7"/>
        <v>NO</v>
      </c>
      <c r="AC16" s="13" t="s">
        <v>31</v>
      </c>
      <c r="AD16" s="15"/>
      <c r="AE16" s="15"/>
      <c r="AF16" s="15"/>
      <c r="AG16" s="15"/>
      <c r="AH16" s="15"/>
      <c r="AI16" s="15"/>
      <c r="AJ16" s="15"/>
    </row>
    <row r="17" spans="1:36" ht="48.75" customHeight="1" x14ac:dyDescent="0.3">
      <c r="A17" s="101"/>
      <c r="B17" s="98"/>
      <c r="C17" s="106"/>
      <c r="D17" s="101"/>
      <c r="E17" s="21" t="s">
        <v>26</v>
      </c>
      <c r="F17" s="21"/>
      <c r="G17" s="22" t="s">
        <v>159</v>
      </c>
      <c r="H17" s="14" t="s">
        <v>160</v>
      </c>
      <c r="I17" s="22">
        <v>3</v>
      </c>
      <c r="J17" s="22">
        <v>1</v>
      </c>
      <c r="K17" s="22">
        <v>1</v>
      </c>
      <c r="L17" s="22">
        <v>3</v>
      </c>
      <c r="M17" s="10">
        <f t="shared" si="0"/>
        <v>8</v>
      </c>
      <c r="N17" s="22">
        <v>2</v>
      </c>
      <c r="O17" s="11">
        <f t="shared" si="1"/>
        <v>16</v>
      </c>
      <c r="P17" s="12" t="str">
        <f t="shared" si="2"/>
        <v>Moderado</v>
      </c>
      <c r="Q17" s="12" t="str">
        <f t="shared" si="3"/>
        <v>NO</v>
      </c>
      <c r="R17" s="18" t="s">
        <v>161</v>
      </c>
      <c r="S17" s="14" t="s">
        <v>99</v>
      </c>
      <c r="T17" s="22">
        <v>3</v>
      </c>
      <c r="U17" s="22">
        <v>1</v>
      </c>
      <c r="V17" s="22">
        <v>1</v>
      </c>
      <c r="W17" s="22">
        <v>3</v>
      </c>
      <c r="X17" s="10">
        <f t="shared" si="4"/>
        <v>8</v>
      </c>
      <c r="Y17" s="22">
        <v>2</v>
      </c>
      <c r="Z17" s="11">
        <f t="shared" si="5"/>
        <v>16</v>
      </c>
      <c r="AA17" s="12" t="str">
        <f t="shared" si="6"/>
        <v>Moderado</v>
      </c>
      <c r="AB17" s="12" t="str">
        <f t="shared" si="7"/>
        <v>NO</v>
      </c>
      <c r="AC17" s="13" t="s">
        <v>31</v>
      </c>
      <c r="AD17" s="15"/>
      <c r="AE17" s="15"/>
      <c r="AF17" s="15"/>
      <c r="AG17" s="15"/>
      <c r="AH17" s="15"/>
      <c r="AI17" s="15"/>
      <c r="AJ17" s="15"/>
    </row>
    <row r="18" spans="1:36" ht="69.75" customHeight="1" x14ac:dyDescent="0.3">
      <c r="A18" s="101"/>
      <c r="B18" s="98"/>
      <c r="C18" s="106"/>
      <c r="D18" s="101"/>
      <c r="E18" s="21" t="s">
        <v>26</v>
      </c>
      <c r="F18" s="21"/>
      <c r="G18" s="10" t="s">
        <v>162</v>
      </c>
      <c r="H18" s="10" t="s">
        <v>40</v>
      </c>
      <c r="I18" s="22">
        <v>3</v>
      </c>
      <c r="J18" s="22">
        <v>1</v>
      </c>
      <c r="K18" s="22">
        <v>2</v>
      </c>
      <c r="L18" s="22">
        <v>3</v>
      </c>
      <c r="M18" s="10">
        <f t="shared" si="0"/>
        <v>9</v>
      </c>
      <c r="N18" s="22">
        <v>2</v>
      </c>
      <c r="O18" s="11">
        <f t="shared" si="1"/>
        <v>18</v>
      </c>
      <c r="P18" s="12" t="str">
        <f t="shared" si="2"/>
        <v>Importante</v>
      </c>
      <c r="Q18" s="12" t="str">
        <f t="shared" si="3"/>
        <v>SÍ</v>
      </c>
      <c r="R18" s="13" t="s">
        <v>163</v>
      </c>
      <c r="S18" s="14" t="s">
        <v>164</v>
      </c>
      <c r="T18" s="22">
        <v>3</v>
      </c>
      <c r="U18" s="22">
        <v>1</v>
      </c>
      <c r="V18" s="22">
        <v>1</v>
      </c>
      <c r="W18" s="22">
        <v>3</v>
      </c>
      <c r="X18" s="10">
        <f t="shared" si="4"/>
        <v>8</v>
      </c>
      <c r="Y18" s="22">
        <v>2</v>
      </c>
      <c r="Z18" s="11">
        <f t="shared" si="5"/>
        <v>16</v>
      </c>
      <c r="AA18" s="12" t="str">
        <f t="shared" si="6"/>
        <v>Moderado</v>
      </c>
      <c r="AB18" s="12" t="str">
        <f t="shared" si="7"/>
        <v>NO</v>
      </c>
      <c r="AC18" s="13" t="s">
        <v>165</v>
      </c>
      <c r="AD18" s="15"/>
      <c r="AE18" s="15"/>
      <c r="AF18" s="15"/>
      <c r="AG18" s="15"/>
      <c r="AH18" s="15"/>
      <c r="AI18" s="15"/>
      <c r="AJ18" s="15"/>
    </row>
    <row r="19" spans="1:36" ht="31.5" customHeight="1" x14ac:dyDescent="0.3">
      <c r="A19" s="101"/>
      <c r="B19" s="98"/>
      <c r="C19" s="106"/>
      <c r="D19" s="101"/>
      <c r="E19" s="21" t="s">
        <v>26</v>
      </c>
      <c r="F19" s="21"/>
      <c r="G19" s="63" t="s">
        <v>245</v>
      </c>
      <c r="H19" s="10" t="s">
        <v>166</v>
      </c>
      <c r="I19" s="22">
        <v>3</v>
      </c>
      <c r="J19" s="22">
        <v>1</v>
      </c>
      <c r="K19" s="22">
        <v>1</v>
      </c>
      <c r="L19" s="22">
        <v>3</v>
      </c>
      <c r="M19" s="10">
        <f t="shared" si="0"/>
        <v>8</v>
      </c>
      <c r="N19" s="22">
        <v>2</v>
      </c>
      <c r="O19" s="11">
        <f t="shared" si="1"/>
        <v>16</v>
      </c>
      <c r="P19" s="12" t="str">
        <f t="shared" si="2"/>
        <v>Moderado</v>
      </c>
      <c r="Q19" s="12" t="str">
        <f t="shared" si="3"/>
        <v>NO</v>
      </c>
      <c r="R19" s="13" t="s">
        <v>167</v>
      </c>
      <c r="S19" s="14" t="s">
        <v>99</v>
      </c>
      <c r="T19" s="22">
        <v>3</v>
      </c>
      <c r="U19" s="22">
        <v>1</v>
      </c>
      <c r="V19" s="22">
        <v>1</v>
      </c>
      <c r="W19" s="22">
        <v>3</v>
      </c>
      <c r="X19" s="10">
        <f t="shared" si="4"/>
        <v>8</v>
      </c>
      <c r="Y19" s="22">
        <v>2</v>
      </c>
      <c r="Z19" s="11">
        <f t="shared" si="5"/>
        <v>16</v>
      </c>
      <c r="AA19" s="12" t="str">
        <f t="shared" si="6"/>
        <v>Moderado</v>
      </c>
      <c r="AB19" s="12" t="str">
        <f t="shared" si="7"/>
        <v>NO</v>
      </c>
      <c r="AC19" s="13" t="s">
        <v>31</v>
      </c>
      <c r="AD19" s="15"/>
      <c r="AE19" s="15"/>
      <c r="AF19" s="15"/>
      <c r="AG19" s="15"/>
      <c r="AH19" s="15"/>
      <c r="AI19" s="15"/>
      <c r="AJ19" s="15"/>
    </row>
    <row r="20" spans="1:36" ht="59.25" customHeight="1" x14ac:dyDescent="0.3">
      <c r="A20" s="101"/>
      <c r="B20" s="98"/>
      <c r="C20" s="106"/>
      <c r="D20" s="101"/>
      <c r="E20" s="21" t="s">
        <v>26</v>
      </c>
      <c r="F20" s="21"/>
      <c r="G20" s="10" t="s">
        <v>92</v>
      </c>
      <c r="H20" s="10" t="s">
        <v>121</v>
      </c>
      <c r="I20" s="22">
        <v>3</v>
      </c>
      <c r="J20" s="22">
        <v>1</v>
      </c>
      <c r="K20" s="22">
        <v>1</v>
      </c>
      <c r="L20" s="22">
        <v>3</v>
      </c>
      <c r="M20" s="10">
        <f t="shared" si="0"/>
        <v>8</v>
      </c>
      <c r="N20" s="22">
        <v>1</v>
      </c>
      <c r="O20" s="11">
        <f t="shared" si="1"/>
        <v>8</v>
      </c>
      <c r="P20" s="12" t="str">
        <f t="shared" si="2"/>
        <v>Tolerable</v>
      </c>
      <c r="Q20" s="12" t="str">
        <f t="shared" si="3"/>
        <v>NO</v>
      </c>
      <c r="R20" s="13" t="s">
        <v>168</v>
      </c>
      <c r="S20" s="14" t="s">
        <v>169</v>
      </c>
      <c r="T20" s="22">
        <v>3</v>
      </c>
      <c r="U20" s="22">
        <v>1</v>
      </c>
      <c r="V20" s="22">
        <v>1</v>
      </c>
      <c r="W20" s="22">
        <v>3</v>
      </c>
      <c r="X20" s="10">
        <f t="shared" si="4"/>
        <v>8</v>
      </c>
      <c r="Y20" s="22">
        <v>1</v>
      </c>
      <c r="Z20" s="11">
        <f t="shared" si="5"/>
        <v>8</v>
      </c>
      <c r="AA20" s="12" t="str">
        <f t="shared" si="6"/>
        <v>Tolerable</v>
      </c>
      <c r="AB20" s="12" t="str">
        <f t="shared" si="7"/>
        <v>NO</v>
      </c>
      <c r="AC20" s="13" t="s">
        <v>46</v>
      </c>
      <c r="AD20" s="15"/>
      <c r="AE20" s="15"/>
      <c r="AF20" s="15"/>
      <c r="AG20" s="15"/>
      <c r="AH20" s="15"/>
      <c r="AI20" s="15"/>
      <c r="AJ20" s="15"/>
    </row>
    <row r="21" spans="1:36" ht="49.5" customHeight="1" x14ac:dyDescent="0.3">
      <c r="A21" s="101"/>
      <c r="B21" s="98"/>
      <c r="C21" s="106"/>
      <c r="D21" s="101"/>
      <c r="E21" s="21" t="s">
        <v>26</v>
      </c>
      <c r="F21" s="21"/>
      <c r="G21" s="14" t="s">
        <v>170</v>
      </c>
      <c r="H21" s="14" t="s">
        <v>171</v>
      </c>
      <c r="I21" s="22">
        <v>3</v>
      </c>
      <c r="J21" s="22">
        <v>1</v>
      </c>
      <c r="K21" s="22">
        <v>1</v>
      </c>
      <c r="L21" s="22">
        <v>3</v>
      </c>
      <c r="M21" s="10">
        <f t="shared" si="0"/>
        <v>8</v>
      </c>
      <c r="N21" s="22">
        <v>2</v>
      </c>
      <c r="O21" s="11">
        <f t="shared" si="1"/>
        <v>16</v>
      </c>
      <c r="P21" s="12" t="str">
        <f t="shared" si="2"/>
        <v>Moderado</v>
      </c>
      <c r="Q21" s="12" t="str">
        <f t="shared" si="3"/>
        <v>NO</v>
      </c>
      <c r="R21" s="13" t="s">
        <v>172</v>
      </c>
      <c r="S21" s="14" t="s">
        <v>99</v>
      </c>
      <c r="T21" s="22">
        <v>3</v>
      </c>
      <c r="U21" s="22">
        <v>1</v>
      </c>
      <c r="V21" s="22">
        <v>1</v>
      </c>
      <c r="W21" s="22">
        <v>3</v>
      </c>
      <c r="X21" s="10">
        <f t="shared" si="4"/>
        <v>8</v>
      </c>
      <c r="Y21" s="22">
        <v>2</v>
      </c>
      <c r="Z21" s="11">
        <f t="shared" si="5"/>
        <v>16</v>
      </c>
      <c r="AA21" s="12" t="str">
        <f t="shared" si="6"/>
        <v>Moderado</v>
      </c>
      <c r="AB21" s="12" t="str">
        <f t="shared" si="7"/>
        <v>NO</v>
      </c>
      <c r="AC21" s="13" t="s">
        <v>31</v>
      </c>
      <c r="AD21" s="15"/>
      <c r="AE21" s="15"/>
      <c r="AF21" s="15"/>
      <c r="AG21" s="15"/>
      <c r="AH21" s="15"/>
      <c r="AI21" s="15"/>
      <c r="AJ21" s="15"/>
    </row>
    <row r="22" spans="1:36" ht="72" customHeight="1" x14ac:dyDescent="0.3">
      <c r="A22" s="101"/>
      <c r="B22" s="98"/>
      <c r="C22" s="106"/>
      <c r="D22" s="101"/>
      <c r="E22" s="21" t="s">
        <v>26</v>
      </c>
      <c r="F22" s="21"/>
      <c r="G22" s="14" t="s">
        <v>57</v>
      </c>
      <c r="H22" s="14" t="s">
        <v>58</v>
      </c>
      <c r="I22" s="22">
        <v>3</v>
      </c>
      <c r="J22" s="22">
        <v>1</v>
      </c>
      <c r="K22" s="22">
        <v>1</v>
      </c>
      <c r="L22" s="22">
        <v>3</v>
      </c>
      <c r="M22" s="10">
        <f t="shared" si="0"/>
        <v>8</v>
      </c>
      <c r="N22" s="22">
        <v>2</v>
      </c>
      <c r="O22" s="11">
        <f t="shared" si="1"/>
        <v>16</v>
      </c>
      <c r="P22" s="12" t="str">
        <f t="shared" si="2"/>
        <v>Moderado</v>
      </c>
      <c r="Q22" s="12" t="str">
        <f t="shared" si="3"/>
        <v>NO</v>
      </c>
      <c r="R22" s="13" t="s">
        <v>173</v>
      </c>
      <c r="S22" s="14" t="s">
        <v>60</v>
      </c>
      <c r="T22" s="22">
        <v>3</v>
      </c>
      <c r="U22" s="22">
        <v>1</v>
      </c>
      <c r="V22" s="22">
        <v>1</v>
      </c>
      <c r="W22" s="22">
        <v>3</v>
      </c>
      <c r="X22" s="10">
        <f t="shared" si="4"/>
        <v>8</v>
      </c>
      <c r="Y22" s="22">
        <v>1</v>
      </c>
      <c r="Z22" s="11">
        <f t="shared" si="5"/>
        <v>8</v>
      </c>
      <c r="AA22" s="12" t="str">
        <f t="shared" si="6"/>
        <v>Tolerable</v>
      </c>
      <c r="AB22" s="12" t="str">
        <f t="shared" si="7"/>
        <v>NO</v>
      </c>
      <c r="AC22" s="13" t="s">
        <v>174</v>
      </c>
      <c r="AD22" s="15"/>
      <c r="AE22" s="15"/>
      <c r="AF22" s="15"/>
      <c r="AG22" s="15"/>
      <c r="AH22" s="15"/>
      <c r="AI22" s="15"/>
      <c r="AJ22" s="15"/>
    </row>
    <row r="23" spans="1:36" ht="63" customHeight="1" x14ac:dyDescent="0.3">
      <c r="A23" s="101"/>
      <c r="B23" s="98"/>
      <c r="C23" s="106"/>
      <c r="D23" s="101"/>
      <c r="E23" s="21" t="s">
        <v>26</v>
      </c>
      <c r="F23" s="21"/>
      <c r="G23" s="14" t="s">
        <v>96</v>
      </c>
      <c r="H23" s="14" t="s">
        <v>97</v>
      </c>
      <c r="I23" s="22">
        <v>3</v>
      </c>
      <c r="J23" s="22">
        <v>2</v>
      </c>
      <c r="K23" s="22">
        <v>2</v>
      </c>
      <c r="L23" s="22">
        <v>3</v>
      </c>
      <c r="M23" s="10">
        <f t="shared" si="0"/>
        <v>10</v>
      </c>
      <c r="N23" s="22">
        <v>2</v>
      </c>
      <c r="O23" s="11">
        <f t="shared" si="1"/>
        <v>20</v>
      </c>
      <c r="P23" s="12" t="str">
        <f t="shared" si="2"/>
        <v>Importante</v>
      </c>
      <c r="Q23" s="12" t="str">
        <f t="shared" si="3"/>
        <v>SÍ</v>
      </c>
      <c r="R23" s="13" t="s">
        <v>98</v>
      </c>
      <c r="S23" s="14" t="s">
        <v>99</v>
      </c>
      <c r="T23" s="22">
        <v>3</v>
      </c>
      <c r="U23" s="22">
        <v>1</v>
      </c>
      <c r="V23" s="22">
        <v>1</v>
      </c>
      <c r="W23" s="10">
        <v>3</v>
      </c>
      <c r="X23" s="10">
        <f t="shared" si="4"/>
        <v>8</v>
      </c>
      <c r="Y23" s="22">
        <v>1</v>
      </c>
      <c r="Z23" s="11">
        <f t="shared" si="5"/>
        <v>8</v>
      </c>
      <c r="AA23" s="12" t="str">
        <f t="shared" si="6"/>
        <v>Tolerable</v>
      </c>
      <c r="AB23" s="12" t="str">
        <f t="shared" si="7"/>
        <v>NO</v>
      </c>
      <c r="AC23" s="13" t="s">
        <v>31</v>
      </c>
      <c r="AD23" s="15"/>
      <c r="AE23" s="15"/>
      <c r="AF23" s="15"/>
      <c r="AG23" s="15"/>
      <c r="AH23" s="15"/>
      <c r="AI23" s="15"/>
      <c r="AJ23" s="15"/>
    </row>
    <row r="24" spans="1:36" ht="79.5" customHeight="1" x14ac:dyDescent="0.3">
      <c r="A24" s="101"/>
      <c r="B24" s="98"/>
      <c r="C24" s="106"/>
      <c r="D24" s="101"/>
      <c r="E24" s="21" t="s">
        <v>26</v>
      </c>
      <c r="F24" s="21"/>
      <c r="G24" s="10" t="s">
        <v>54</v>
      </c>
      <c r="H24" s="14" t="s">
        <v>55</v>
      </c>
      <c r="I24" s="22">
        <v>3</v>
      </c>
      <c r="J24" s="22">
        <v>2</v>
      </c>
      <c r="K24" s="22">
        <v>1</v>
      </c>
      <c r="L24" s="22">
        <v>3</v>
      </c>
      <c r="M24" s="10">
        <f t="shared" si="0"/>
        <v>9</v>
      </c>
      <c r="N24" s="22">
        <v>1</v>
      </c>
      <c r="O24" s="11">
        <f t="shared" si="1"/>
        <v>9</v>
      </c>
      <c r="P24" s="12" t="str">
        <f t="shared" si="2"/>
        <v>Moderado</v>
      </c>
      <c r="Q24" s="12" t="str">
        <f t="shared" si="3"/>
        <v>NO</v>
      </c>
      <c r="R24" s="23" t="s">
        <v>175</v>
      </c>
      <c r="S24" s="14" t="s">
        <v>117</v>
      </c>
      <c r="T24" s="22">
        <v>3</v>
      </c>
      <c r="U24" s="22">
        <v>1</v>
      </c>
      <c r="V24" s="22">
        <v>1</v>
      </c>
      <c r="W24" s="10">
        <v>3</v>
      </c>
      <c r="X24" s="10">
        <f t="shared" si="4"/>
        <v>8</v>
      </c>
      <c r="Y24" s="22">
        <v>1</v>
      </c>
      <c r="Z24" s="11">
        <f t="shared" si="5"/>
        <v>8</v>
      </c>
      <c r="AA24" s="12" t="str">
        <f t="shared" si="6"/>
        <v>Tolerable</v>
      </c>
      <c r="AB24" s="12" t="str">
        <f t="shared" si="7"/>
        <v>NO</v>
      </c>
      <c r="AC24" s="13" t="s">
        <v>31</v>
      </c>
      <c r="AD24" s="15"/>
      <c r="AE24" s="15"/>
      <c r="AF24" s="15"/>
      <c r="AG24" s="15"/>
      <c r="AH24" s="15"/>
      <c r="AI24" s="15"/>
      <c r="AJ24" s="15"/>
    </row>
    <row r="25" spans="1:36" ht="90.75" customHeight="1" x14ac:dyDescent="0.3">
      <c r="A25" s="101"/>
      <c r="B25" s="98"/>
      <c r="C25" s="106"/>
      <c r="D25" s="101"/>
      <c r="E25" s="9" t="s">
        <v>26</v>
      </c>
      <c r="F25" s="9"/>
      <c r="G25" s="60" t="s">
        <v>27</v>
      </c>
      <c r="H25" s="10" t="s">
        <v>28</v>
      </c>
      <c r="I25" s="22">
        <v>3</v>
      </c>
      <c r="J25" s="22">
        <v>1</v>
      </c>
      <c r="K25" s="22">
        <v>1</v>
      </c>
      <c r="L25" s="22">
        <v>3</v>
      </c>
      <c r="M25" s="10">
        <f t="shared" si="0"/>
        <v>8</v>
      </c>
      <c r="N25" s="22">
        <v>1</v>
      </c>
      <c r="O25" s="11">
        <f t="shared" si="1"/>
        <v>8</v>
      </c>
      <c r="P25" s="12" t="str">
        <f t="shared" si="2"/>
        <v>Tolerable</v>
      </c>
      <c r="Q25" s="12" t="str">
        <f t="shared" si="3"/>
        <v>NO</v>
      </c>
      <c r="R25" s="13" t="s">
        <v>176</v>
      </c>
      <c r="S25" s="14" t="s">
        <v>124</v>
      </c>
      <c r="T25" s="22">
        <v>3</v>
      </c>
      <c r="U25" s="22">
        <v>1</v>
      </c>
      <c r="V25" s="22">
        <v>1</v>
      </c>
      <c r="W25" s="10">
        <v>3</v>
      </c>
      <c r="X25" s="10">
        <f t="shared" si="4"/>
        <v>8</v>
      </c>
      <c r="Y25" s="22">
        <v>1</v>
      </c>
      <c r="Z25" s="11">
        <f t="shared" si="5"/>
        <v>8</v>
      </c>
      <c r="AA25" s="12" t="str">
        <f t="shared" si="6"/>
        <v>Tolerable</v>
      </c>
      <c r="AB25" s="12" t="str">
        <f t="shared" si="7"/>
        <v>NO</v>
      </c>
      <c r="AC25" s="13" t="s">
        <v>177</v>
      </c>
      <c r="AD25" s="15"/>
      <c r="AE25" s="15"/>
      <c r="AF25" s="15"/>
      <c r="AG25" s="15"/>
      <c r="AH25" s="15"/>
      <c r="AI25" s="15"/>
      <c r="AJ25" s="15"/>
    </row>
    <row r="26" spans="1:36" ht="73.5" customHeight="1" x14ac:dyDescent="0.3">
      <c r="A26" s="101"/>
      <c r="B26" s="98"/>
      <c r="C26" s="106"/>
      <c r="D26" s="101"/>
      <c r="E26" s="9" t="s">
        <v>26</v>
      </c>
      <c r="F26" s="58"/>
      <c r="G26" s="62" t="s">
        <v>244</v>
      </c>
      <c r="H26" s="59" t="s">
        <v>178</v>
      </c>
      <c r="I26" s="22">
        <v>3</v>
      </c>
      <c r="J26" s="22">
        <v>2</v>
      </c>
      <c r="K26" s="22">
        <v>2</v>
      </c>
      <c r="L26" s="22">
        <v>3</v>
      </c>
      <c r="M26" s="10">
        <f t="shared" si="0"/>
        <v>10</v>
      </c>
      <c r="N26" s="22">
        <v>1</v>
      </c>
      <c r="O26" s="11">
        <f t="shared" si="1"/>
        <v>10</v>
      </c>
      <c r="P26" s="12" t="str">
        <f t="shared" si="2"/>
        <v>Moderado</v>
      </c>
      <c r="Q26" s="12" t="str">
        <f t="shared" si="3"/>
        <v>NO</v>
      </c>
      <c r="R26" s="27" t="s">
        <v>179</v>
      </c>
      <c r="S26" s="14" t="s">
        <v>180</v>
      </c>
      <c r="T26" s="22">
        <v>3</v>
      </c>
      <c r="U26" s="22">
        <v>1</v>
      </c>
      <c r="V26" s="22">
        <v>1</v>
      </c>
      <c r="W26" s="10">
        <v>3</v>
      </c>
      <c r="X26" s="10">
        <f t="shared" si="4"/>
        <v>8</v>
      </c>
      <c r="Y26" s="22">
        <v>1</v>
      </c>
      <c r="Z26" s="11">
        <f t="shared" si="5"/>
        <v>8</v>
      </c>
      <c r="AA26" s="12" t="str">
        <f t="shared" si="6"/>
        <v>Tolerable</v>
      </c>
      <c r="AB26" s="12" t="str">
        <f t="shared" si="7"/>
        <v>NO</v>
      </c>
      <c r="AC26" s="13" t="s">
        <v>31</v>
      </c>
      <c r="AD26" s="15"/>
      <c r="AE26" s="15"/>
      <c r="AF26" s="15"/>
      <c r="AG26" s="15"/>
      <c r="AH26" s="15"/>
      <c r="AI26" s="15"/>
      <c r="AJ26" s="15"/>
    </row>
    <row r="27" spans="1:36" ht="73.5" customHeight="1" x14ac:dyDescent="0.3">
      <c r="A27" s="101"/>
      <c r="B27" s="98"/>
      <c r="C27" s="106"/>
      <c r="D27" s="101"/>
      <c r="E27" s="9" t="s">
        <v>26</v>
      </c>
      <c r="F27" s="9"/>
      <c r="G27" s="61" t="s">
        <v>181</v>
      </c>
      <c r="H27" s="10" t="s">
        <v>182</v>
      </c>
      <c r="I27" s="22">
        <v>1</v>
      </c>
      <c r="J27" s="22">
        <v>1</v>
      </c>
      <c r="K27" s="22">
        <v>2</v>
      </c>
      <c r="L27" s="22">
        <v>2</v>
      </c>
      <c r="M27" s="10">
        <f t="shared" si="0"/>
        <v>6</v>
      </c>
      <c r="N27" s="22">
        <v>2</v>
      </c>
      <c r="O27" s="11">
        <f t="shared" si="1"/>
        <v>12</v>
      </c>
      <c r="P27" s="12" t="str">
        <f t="shared" si="2"/>
        <v>Moderado</v>
      </c>
      <c r="Q27" s="12" t="str">
        <f t="shared" si="3"/>
        <v>NO</v>
      </c>
      <c r="R27" s="27" t="s">
        <v>183</v>
      </c>
      <c r="S27" s="14" t="s">
        <v>184</v>
      </c>
      <c r="T27" s="22">
        <v>1</v>
      </c>
      <c r="U27" s="22">
        <v>1</v>
      </c>
      <c r="V27" s="22">
        <v>1</v>
      </c>
      <c r="W27" s="10">
        <v>2</v>
      </c>
      <c r="X27" s="10">
        <f t="shared" si="4"/>
        <v>5</v>
      </c>
      <c r="Y27" s="22">
        <v>1</v>
      </c>
      <c r="Z27" s="11">
        <f t="shared" si="5"/>
        <v>5</v>
      </c>
      <c r="AA27" s="12" t="str">
        <f t="shared" si="6"/>
        <v>Tolerable</v>
      </c>
      <c r="AB27" s="12" t="str">
        <f t="shared" si="7"/>
        <v>NO</v>
      </c>
      <c r="AC27" s="13" t="s">
        <v>144</v>
      </c>
      <c r="AD27" s="15"/>
      <c r="AE27" s="15"/>
      <c r="AF27" s="15"/>
      <c r="AG27" s="15"/>
      <c r="AH27" s="15"/>
      <c r="AI27" s="15"/>
      <c r="AJ27" s="15"/>
    </row>
    <row r="28" spans="1:36" ht="73.5" customHeight="1" x14ac:dyDescent="0.3">
      <c r="A28" s="101"/>
      <c r="B28" s="98"/>
      <c r="C28" s="106"/>
      <c r="D28" s="101"/>
      <c r="E28" s="9" t="s">
        <v>26</v>
      </c>
      <c r="F28" s="9"/>
      <c r="G28" s="10" t="s">
        <v>185</v>
      </c>
      <c r="H28" s="10" t="s">
        <v>186</v>
      </c>
      <c r="I28" s="22">
        <v>1</v>
      </c>
      <c r="J28" s="22">
        <v>1</v>
      </c>
      <c r="K28" s="22">
        <v>2</v>
      </c>
      <c r="L28" s="22">
        <v>2</v>
      </c>
      <c r="M28" s="10">
        <f t="shared" si="0"/>
        <v>6</v>
      </c>
      <c r="N28" s="22">
        <v>3</v>
      </c>
      <c r="O28" s="11">
        <f t="shared" si="1"/>
        <v>18</v>
      </c>
      <c r="P28" s="12" t="str">
        <f t="shared" si="2"/>
        <v>Importante</v>
      </c>
      <c r="Q28" s="12" t="str">
        <f t="shared" si="3"/>
        <v>SÍ</v>
      </c>
      <c r="R28" s="27" t="s">
        <v>187</v>
      </c>
      <c r="S28" s="14" t="s">
        <v>188</v>
      </c>
      <c r="T28" s="22">
        <v>1</v>
      </c>
      <c r="U28" s="22">
        <v>1</v>
      </c>
      <c r="V28" s="22">
        <v>1</v>
      </c>
      <c r="W28" s="10">
        <v>2</v>
      </c>
      <c r="X28" s="10">
        <f t="shared" si="4"/>
        <v>5</v>
      </c>
      <c r="Y28" s="22">
        <v>2</v>
      </c>
      <c r="Z28" s="11">
        <f t="shared" si="5"/>
        <v>10</v>
      </c>
      <c r="AA28" s="12" t="str">
        <f t="shared" si="6"/>
        <v>Moderado</v>
      </c>
      <c r="AB28" s="12" t="str">
        <f t="shared" si="7"/>
        <v>NO</v>
      </c>
      <c r="AC28" s="13" t="s">
        <v>189</v>
      </c>
      <c r="AD28" s="15"/>
      <c r="AE28" s="15"/>
      <c r="AF28" s="15"/>
      <c r="AG28" s="15"/>
      <c r="AH28" s="15"/>
      <c r="AI28" s="15"/>
      <c r="AJ28" s="15"/>
    </row>
    <row r="29" spans="1:36" ht="73.5" customHeight="1" x14ac:dyDescent="0.3">
      <c r="A29" s="101"/>
      <c r="B29" s="98"/>
      <c r="C29" s="106"/>
      <c r="D29" s="101"/>
      <c r="E29" s="9" t="s">
        <v>26</v>
      </c>
      <c r="F29" s="9"/>
      <c r="G29" s="10" t="s">
        <v>125</v>
      </c>
      <c r="H29" s="10" t="s">
        <v>126</v>
      </c>
      <c r="I29" s="22">
        <v>3</v>
      </c>
      <c r="J29" s="22">
        <v>1</v>
      </c>
      <c r="K29" s="22">
        <v>1</v>
      </c>
      <c r="L29" s="22">
        <v>3</v>
      </c>
      <c r="M29" s="10">
        <f t="shared" si="0"/>
        <v>8</v>
      </c>
      <c r="N29" s="22">
        <v>2</v>
      </c>
      <c r="O29" s="11">
        <f t="shared" si="1"/>
        <v>16</v>
      </c>
      <c r="P29" s="12" t="str">
        <f t="shared" si="2"/>
        <v>Moderado</v>
      </c>
      <c r="Q29" s="12" t="str">
        <f t="shared" si="3"/>
        <v>NO</v>
      </c>
      <c r="R29" s="27" t="s">
        <v>190</v>
      </c>
      <c r="S29" s="14" t="s">
        <v>95</v>
      </c>
      <c r="T29" s="22">
        <v>3</v>
      </c>
      <c r="U29" s="22">
        <v>1</v>
      </c>
      <c r="V29" s="22">
        <v>1</v>
      </c>
      <c r="W29" s="10">
        <v>3</v>
      </c>
      <c r="X29" s="10">
        <f t="shared" si="4"/>
        <v>8</v>
      </c>
      <c r="Y29" s="22">
        <v>1</v>
      </c>
      <c r="Z29" s="11">
        <f t="shared" si="5"/>
        <v>8</v>
      </c>
      <c r="AA29" s="12" t="str">
        <f t="shared" si="6"/>
        <v>Tolerable</v>
      </c>
      <c r="AB29" s="12" t="str">
        <f t="shared" si="7"/>
        <v>NO</v>
      </c>
      <c r="AC29" s="13" t="s">
        <v>191</v>
      </c>
      <c r="AD29" s="15"/>
      <c r="AE29" s="15"/>
      <c r="AF29" s="15"/>
      <c r="AG29" s="15"/>
      <c r="AH29" s="15"/>
      <c r="AI29" s="15"/>
      <c r="AJ29" s="15"/>
    </row>
    <row r="30" spans="1:36" ht="73.5" customHeight="1" x14ac:dyDescent="0.3">
      <c r="A30" s="101"/>
      <c r="B30" s="99"/>
      <c r="C30" s="107"/>
      <c r="D30" s="104"/>
      <c r="E30" s="9" t="s">
        <v>26</v>
      </c>
      <c r="F30" s="9"/>
      <c r="G30" s="10" t="s">
        <v>32</v>
      </c>
      <c r="H30" s="10" t="s">
        <v>192</v>
      </c>
      <c r="I30" s="22">
        <v>3</v>
      </c>
      <c r="J30" s="22">
        <v>1</v>
      </c>
      <c r="K30" s="22">
        <v>1</v>
      </c>
      <c r="L30" s="22">
        <v>3</v>
      </c>
      <c r="M30" s="10">
        <f t="shared" si="0"/>
        <v>8</v>
      </c>
      <c r="N30" s="22">
        <v>3</v>
      </c>
      <c r="O30" s="11">
        <f t="shared" si="1"/>
        <v>24</v>
      </c>
      <c r="P30" s="12" t="str">
        <f t="shared" si="2"/>
        <v>Importante</v>
      </c>
      <c r="Q30" s="12" t="str">
        <f t="shared" si="3"/>
        <v>SÍ</v>
      </c>
      <c r="R30" s="13" t="s">
        <v>193</v>
      </c>
      <c r="S30" s="14" t="s">
        <v>194</v>
      </c>
      <c r="T30" s="22">
        <v>3</v>
      </c>
      <c r="U30" s="22">
        <v>1</v>
      </c>
      <c r="V30" s="22">
        <v>1</v>
      </c>
      <c r="W30" s="10">
        <v>3</v>
      </c>
      <c r="X30" s="10">
        <f t="shared" si="4"/>
        <v>8</v>
      </c>
      <c r="Y30" s="22">
        <v>1</v>
      </c>
      <c r="Z30" s="11">
        <f t="shared" si="5"/>
        <v>8</v>
      </c>
      <c r="AA30" s="12" t="str">
        <f t="shared" si="6"/>
        <v>Tolerable</v>
      </c>
      <c r="AB30" s="12" t="s">
        <v>35</v>
      </c>
      <c r="AC30" s="13" t="s">
        <v>195</v>
      </c>
      <c r="AD30" s="15"/>
      <c r="AE30" s="15"/>
      <c r="AF30" s="15"/>
      <c r="AG30" s="15"/>
      <c r="AH30" s="15"/>
      <c r="AI30" s="15"/>
      <c r="AJ30" s="15"/>
    </row>
    <row r="31" spans="1:36" ht="34.200000000000003" customHeight="1" x14ac:dyDescent="0.3">
      <c r="A31" s="1"/>
      <c r="B31" s="1"/>
      <c r="C31" s="29"/>
      <c r="D31" s="30"/>
      <c r="E31" s="40"/>
      <c r="F31" s="40"/>
      <c r="G31" s="32"/>
      <c r="H31" s="29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</row>
    <row r="32" spans="1:36" ht="34.200000000000003" customHeight="1" x14ac:dyDescent="0.3">
      <c r="A32" s="1"/>
      <c r="B32" s="1"/>
      <c r="C32" s="29"/>
      <c r="D32" s="30"/>
      <c r="E32" s="40"/>
      <c r="F32" s="40"/>
      <c r="G32" s="32"/>
      <c r="H32" s="29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</row>
    <row r="33" spans="1:36" ht="34.200000000000003" customHeight="1" x14ac:dyDescent="0.3">
      <c r="A33" s="1"/>
      <c r="B33" s="1"/>
      <c r="C33" s="29"/>
      <c r="D33" s="30"/>
      <c r="E33" s="40"/>
      <c r="F33" s="40"/>
      <c r="G33" s="32"/>
      <c r="H33" s="29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</row>
    <row r="34" spans="1:36" ht="12.75" customHeight="1" x14ac:dyDescent="0.3">
      <c r="A34" s="1"/>
      <c r="B34" s="1"/>
      <c r="C34" s="29"/>
      <c r="D34" s="30"/>
      <c r="E34" s="40"/>
      <c r="F34" s="40"/>
      <c r="G34" s="32"/>
      <c r="H34" s="29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</row>
    <row r="35" spans="1:36" ht="12.75" customHeight="1" x14ac:dyDescent="0.3">
      <c r="A35" s="1"/>
      <c r="B35" s="1"/>
      <c r="C35" s="29"/>
      <c r="D35" s="30"/>
      <c r="E35" s="40"/>
      <c r="F35" s="40"/>
      <c r="G35" s="32"/>
      <c r="H35" s="29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</row>
    <row r="36" spans="1:36" ht="12.75" customHeight="1" x14ac:dyDescent="0.3">
      <c r="A36" s="1"/>
      <c r="B36" s="1"/>
      <c r="C36" s="29"/>
      <c r="D36" s="30"/>
      <c r="E36" s="40"/>
      <c r="F36" s="40"/>
      <c r="G36" s="32"/>
      <c r="H36" s="29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</row>
    <row r="37" spans="1:36" ht="12.75" customHeight="1" x14ac:dyDescent="0.3">
      <c r="A37" s="1"/>
      <c r="B37" s="1"/>
      <c r="C37" s="29"/>
      <c r="D37" s="30"/>
      <c r="E37" s="40"/>
      <c r="F37" s="40"/>
      <c r="G37" s="32"/>
      <c r="H37" s="29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</row>
    <row r="38" spans="1:36" ht="12.75" customHeight="1" x14ac:dyDescent="0.3">
      <c r="A38" s="1"/>
      <c r="B38" s="1"/>
      <c r="C38" s="29"/>
      <c r="D38" s="30"/>
      <c r="E38" s="40"/>
      <c r="F38" s="40"/>
      <c r="G38" s="32"/>
      <c r="H38" s="29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</row>
    <row r="39" spans="1:36" ht="12.75" customHeight="1" x14ac:dyDescent="0.3">
      <c r="A39" s="1"/>
      <c r="B39" s="1"/>
      <c r="C39" s="29"/>
      <c r="D39" s="30"/>
      <c r="E39" s="40"/>
      <c r="F39" s="40"/>
      <c r="G39" s="32"/>
      <c r="H39" s="29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</row>
    <row r="40" spans="1:36" ht="12.75" customHeight="1" x14ac:dyDescent="0.3">
      <c r="A40" s="1"/>
      <c r="B40" s="1"/>
      <c r="C40" s="29"/>
      <c r="D40" s="30"/>
      <c r="E40" s="40"/>
      <c r="F40" s="40"/>
      <c r="G40" s="32"/>
      <c r="H40" s="29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</row>
    <row r="41" spans="1:36" ht="12.75" customHeight="1" x14ac:dyDescent="0.3">
      <c r="A41" s="1"/>
      <c r="B41" s="1"/>
      <c r="C41" s="29"/>
      <c r="D41" s="30"/>
      <c r="E41" s="40"/>
      <c r="F41" s="40"/>
      <c r="G41" s="32"/>
      <c r="H41" s="29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</row>
    <row r="42" spans="1:36" ht="12.75" customHeight="1" x14ac:dyDescent="0.3">
      <c r="A42" s="1"/>
      <c r="B42" s="1"/>
      <c r="C42" s="29"/>
      <c r="D42" s="30"/>
      <c r="E42" s="40"/>
      <c r="F42" s="40"/>
      <c r="G42" s="32"/>
      <c r="H42" s="29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</row>
    <row r="43" spans="1:36" ht="12.75" customHeight="1" x14ac:dyDescent="0.3">
      <c r="A43" s="1"/>
      <c r="B43" s="1"/>
      <c r="C43" s="29"/>
      <c r="D43" s="30"/>
      <c r="E43" s="40"/>
      <c r="F43" s="40"/>
      <c r="G43" s="32"/>
      <c r="H43" s="29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</row>
    <row r="44" spans="1:36" ht="12.75" customHeight="1" x14ac:dyDescent="0.3">
      <c r="A44" s="1"/>
      <c r="B44" s="1"/>
      <c r="C44" s="29"/>
      <c r="D44" s="30"/>
      <c r="E44" s="40"/>
      <c r="F44" s="40"/>
      <c r="G44" s="32"/>
      <c r="H44" s="29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</row>
    <row r="45" spans="1:36" ht="12.75" customHeight="1" x14ac:dyDescent="0.3">
      <c r="A45" s="1"/>
      <c r="B45" s="1"/>
      <c r="C45" s="29"/>
      <c r="D45" s="30"/>
      <c r="E45" s="40"/>
      <c r="F45" s="40"/>
      <c r="G45" s="32"/>
      <c r="H45" s="29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</row>
    <row r="46" spans="1:36" ht="12.75" customHeight="1" x14ac:dyDescent="0.3">
      <c r="A46" s="1"/>
      <c r="B46" s="1"/>
      <c r="C46" s="29"/>
      <c r="D46" s="30"/>
      <c r="E46" s="40"/>
      <c r="F46" s="40"/>
      <c r="G46" s="32"/>
      <c r="H46" s="29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</row>
    <row r="47" spans="1:36" ht="12.75" customHeight="1" x14ac:dyDescent="0.3">
      <c r="A47" s="1"/>
      <c r="B47" s="1"/>
      <c r="C47" s="29"/>
      <c r="D47" s="30"/>
      <c r="E47" s="40"/>
      <c r="F47" s="40"/>
      <c r="G47" s="32"/>
      <c r="H47" s="29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</row>
    <row r="48" spans="1:36" ht="12.75" customHeight="1" x14ac:dyDescent="0.3">
      <c r="A48" s="1"/>
      <c r="B48" s="1"/>
      <c r="C48" s="29"/>
      <c r="D48" s="30"/>
      <c r="E48" s="40"/>
      <c r="F48" s="40"/>
      <c r="G48" s="32"/>
      <c r="H48" s="29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</row>
    <row r="49" spans="1:36" ht="12.75" customHeight="1" x14ac:dyDescent="0.3">
      <c r="A49" s="1"/>
      <c r="B49" s="1"/>
      <c r="C49" s="29"/>
      <c r="D49" s="30"/>
      <c r="E49" s="40"/>
      <c r="F49" s="40"/>
      <c r="G49" s="32"/>
      <c r="H49" s="29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</row>
    <row r="50" spans="1:36" ht="12.75" customHeight="1" x14ac:dyDescent="0.3">
      <c r="A50" s="1"/>
      <c r="B50" s="1"/>
      <c r="C50" s="29"/>
      <c r="D50" s="30"/>
      <c r="E50" s="40"/>
      <c r="F50" s="40"/>
      <c r="G50" s="32"/>
      <c r="H50" s="29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</row>
    <row r="51" spans="1:36" ht="12.75" customHeight="1" x14ac:dyDescent="0.3">
      <c r="A51" s="1"/>
      <c r="B51" s="1"/>
      <c r="C51" s="29"/>
      <c r="D51" s="30"/>
      <c r="E51" s="40"/>
      <c r="F51" s="40"/>
      <c r="G51" s="32"/>
      <c r="H51" s="29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</row>
    <row r="52" spans="1:36" ht="12.75" customHeight="1" x14ac:dyDescent="0.3">
      <c r="A52" s="1"/>
      <c r="B52" s="1"/>
      <c r="C52" s="29"/>
      <c r="D52" s="30"/>
      <c r="E52" s="40"/>
      <c r="F52" s="40"/>
      <c r="G52" s="32"/>
      <c r="H52" s="29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</row>
    <row r="53" spans="1:36" ht="12.75" customHeight="1" x14ac:dyDescent="0.3">
      <c r="A53" s="1"/>
      <c r="B53" s="1"/>
      <c r="C53" s="29"/>
      <c r="D53" s="30"/>
      <c r="E53" s="40"/>
      <c r="F53" s="40"/>
      <c r="G53" s="32"/>
      <c r="H53" s="29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</row>
    <row r="54" spans="1:36" ht="12.75" customHeight="1" x14ac:dyDescent="0.3">
      <c r="A54" s="1"/>
      <c r="B54" s="1"/>
      <c r="C54" s="29"/>
      <c r="D54" s="30"/>
      <c r="E54" s="40"/>
      <c r="F54" s="40"/>
      <c r="G54" s="32"/>
      <c r="H54" s="29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</row>
    <row r="55" spans="1:36" ht="12.75" customHeight="1" x14ac:dyDescent="0.3">
      <c r="A55" s="1"/>
      <c r="B55" s="1"/>
      <c r="C55" s="29"/>
      <c r="D55" s="30"/>
      <c r="E55" s="40"/>
      <c r="F55" s="40"/>
      <c r="G55" s="32"/>
      <c r="H55" s="29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</row>
    <row r="56" spans="1:36" ht="12.75" customHeight="1" x14ac:dyDescent="0.3">
      <c r="A56" s="1"/>
      <c r="B56" s="1"/>
      <c r="C56" s="29"/>
      <c r="D56" s="30"/>
      <c r="E56" s="40"/>
      <c r="F56" s="40"/>
      <c r="G56" s="32"/>
      <c r="H56" s="29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</row>
    <row r="57" spans="1:36" ht="12.75" customHeight="1" x14ac:dyDescent="0.3">
      <c r="A57" s="1"/>
      <c r="B57" s="1"/>
      <c r="C57" s="29"/>
      <c r="D57" s="30"/>
      <c r="E57" s="40"/>
      <c r="F57" s="40"/>
      <c r="G57" s="32"/>
      <c r="H57" s="29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</row>
    <row r="58" spans="1:36" ht="12.75" customHeight="1" x14ac:dyDescent="0.3">
      <c r="A58" s="1"/>
      <c r="B58" s="1"/>
      <c r="C58" s="29"/>
      <c r="D58" s="41"/>
      <c r="E58" s="40"/>
      <c r="F58" s="40"/>
      <c r="G58" s="32"/>
      <c r="H58" s="29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</row>
    <row r="59" spans="1:36" ht="12.75" customHeight="1" x14ac:dyDescent="0.3">
      <c r="A59" s="1"/>
      <c r="B59" s="1"/>
      <c r="C59" s="29"/>
      <c r="D59" s="30"/>
      <c r="E59" s="40"/>
      <c r="F59" s="40"/>
      <c r="G59" s="32"/>
      <c r="H59" s="29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</row>
    <row r="60" spans="1:36" ht="12.75" customHeight="1" x14ac:dyDescent="0.3">
      <c r="A60" s="1"/>
      <c r="B60" s="1"/>
      <c r="C60" s="29"/>
      <c r="D60" s="30"/>
      <c r="E60" s="40"/>
      <c r="F60" s="40"/>
      <c r="G60" s="32"/>
      <c r="H60" s="29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</row>
    <row r="61" spans="1:36" ht="12.75" customHeight="1" x14ac:dyDescent="0.3">
      <c r="A61" s="1"/>
      <c r="B61" s="1"/>
      <c r="C61" s="29"/>
      <c r="D61" s="30"/>
      <c r="E61" s="40"/>
      <c r="F61" s="40"/>
      <c r="G61" s="32"/>
      <c r="H61" s="29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</row>
    <row r="62" spans="1:36" ht="12.75" customHeight="1" x14ac:dyDescent="0.3">
      <c r="A62" s="1"/>
      <c r="B62" s="1"/>
      <c r="C62" s="29"/>
      <c r="D62" s="30"/>
      <c r="E62" s="40"/>
      <c r="F62" s="40"/>
      <c r="G62" s="32"/>
      <c r="H62" s="29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</row>
    <row r="63" spans="1:36" ht="12.75" customHeight="1" x14ac:dyDescent="0.3">
      <c r="A63" s="1"/>
      <c r="B63" s="1"/>
      <c r="C63" s="29"/>
      <c r="D63" s="30"/>
      <c r="E63" s="40"/>
      <c r="F63" s="40"/>
      <c r="G63" s="32"/>
      <c r="H63" s="29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</row>
    <row r="64" spans="1:36" ht="12.75" customHeight="1" x14ac:dyDescent="0.3">
      <c r="A64" s="1"/>
      <c r="B64" s="1"/>
      <c r="C64" s="29"/>
      <c r="D64" s="30"/>
      <c r="E64" s="40"/>
      <c r="F64" s="40"/>
      <c r="G64" s="32"/>
      <c r="H64" s="29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</row>
    <row r="65" spans="1:36" ht="12.75" customHeight="1" x14ac:dyDescent="0.3">
      <c r="A65" s="1"/>
      <c r="B65" s="1"/>
      <c r="C65" s="29"/>
      <c r="D65" s="30"/>
      <c r="E65" s="40"/>
      <c r="F65" s="40"/>
      <c r="G65" s="32"/>
      <c r="H65" s="29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</row>
    <row r="66" spans="1:36" ht="12.75" customHeight="1" x14ac:dyDescent="0.3">
      <c r="A66" s="1"/>
      <c r="B66" s="1"/>
      <c r="C66" s="29"/>
      <c r="D66" s="30"/>
      <c r="E66" s="40"/>
      <c r="F66" s="40"/>
      <c r="G66" s="32"/>
      <c r="H66" s="29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</row>
    <row r="67" spans="1:36" ht="12.75" customHeight="1" x14ac:dyDescent="0.3">
      <c r="A67" s="1"/>
      <c r="B67" s="1"/>
      <c r="C67" s="29"/>
      <c r="D67" s="30"/>
      <c r="E67" s="40"/>
      <c r="F67" s="40"/>
      <c r="G67" s="32"/>
      <c r="H67" s="29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</row>
    <row r="68" spans="1:36" ht="12.75" customHeight="1" x14ac:dyDescent="0.3">
      <c r="A68" s="1"/>
      <c r="B68" s="1"/>
      <c r="C68" s="29"/>
      <c r="D68" s="30"/>
      <c r="E68" s="40"/>
      <c r="F68" s="40"/>
      <c r="G68" s="32"/>
      <c r="H68" s="29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</row>
    <row r="69" spans="1:36" ht="12.75" customHeight="1" x14ac:dyDescent="0.3">
      <c r="A69" s="1"/>
      <c r="B69" s="1"/>
      <c r="C69" s="29"/>
      <c r="D69" s="30"/>
      <c r="E69" s="40"/>
      <c r="F69" s="40"/>
      <c r="G69" s="32"/>
      <c r="H69" s="29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</row>
    <row r="70" spans="1:36" ht="12.75" customHeight="1" x14ac:dyDescent="0.3">
      <c r="A70" s="1"/>
      <c r="B70" s="1"/>
      <c r="C70" s="29"/>
      <c r="D70" s="30"/>
      <c r="E70" s="40"/>
      <c r="F70" s="40"/>
      <c r="G70" s="32"/>
      <c r="H70" s="29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</row>
    <row r="71" spans="1:36" ht="12.75" customHeight="1" x14ac:dyDescent="0.3">
      <c r="A71" s="1"/>
      <c r="B71" s="1"/>
      <c r="C71" s="29"/>
      <c r="D71" s="30"/>
      <c r="E71" s="40"/>
      <c r="F71" s="40"/>
      <c r="G71" s="32"/>
      <c r="H71" s="29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</row>
    <row r="72" spans="1:36" ht="12.75" customHeight="1" x14ac:dyDescent="0.3">
      <c r="A72" s="1"/>
      <c r="B72" s="1"/>
      <c r="C72" s="29"/>
      <c r="D72" s="30"/>
      <c r="E72" s="40"/>
      <c r="F72" s="40"/>
      <c r="G72" s="32"/>
      <c r="H72" s="29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</row>
    <row r="73" spans="1:36" ht="12.75" customHeight="1" x14ac:dyDescent="0.3">
      <c r="A73" s="1"/>
      <c r="B73" s="1"/>
      <c r="C73" s="29"/>
      <c r="D73" s="30"/>
      <c r="E73" s="40"/>
      <c r="F73" s="40"/>
      <c r="G73" s="32"/>
      <c r="H73" s="29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</row>
    <row r="74" spans="1:36" ht="12.75" customHeight="1" x14ac:dyDescent="0.3">
      <c r="A74" s="1"/>
      <c r="B74" s="1"/>
      <c r="C74" s="29"/>
      <c r="D74" s="30"/>
      <c r="E74" s="40"/>
      <c r="F74" s="40"/>
      <c r="G74" s="32"/>
      <c r="H74" s="29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</row>
    <row r="75" spans="1:36" ht="12.75" customHeight="1" x14ac:dyDescent="0.3">
      <c r="A75" s="1"/>
      <c r="B75" s="1"/>
      <c r="C75" s="29"/>
      <c r="D75" s="30"/>
      <c r="E75" s="40"/>
      <c r="F75" s="40"/>
      <c r="G75" s="32"/>
      <c r="H75" s="29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</row>
    <row r="76" spans="1:36" ht="12.75" customHeight="1" x14ac:dyDescent="0.3">
      <c r="A76" s="1"/>
      <c r="B76" s="1"/>
      <c r="C76" s="29"/>
      <c r="D76" s="30"/>
      <c r="E76" s="40"/>
      <c r="F76" s="40"/>
      <c r="G76" s="32"/>
      <c r="H76" s="29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</row>
    <row r="77" spans="1:36" ht="12.75" customHeight="1" x14ac:dyDescent="0.3">
      <c r="A77" s="1"/>
      <c r="B77" s="1"/>
      <c r="C77" s="29"/>
      <c r="D77" s="30"/>
      <c r="E77" s="40"/>
      <c r="F77" s="40"/>
      <c r="G77" s="32"/>
      <c r="H77" s="29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</row>
    <row r="78" spans="1:36" ht="12.75" customHeight="1" x14ac:dyDescent="0.3">
      <c r="A78" s="1"/>
      <c r="B78" s="1"/>
      <c r="C78" s="29"/>
      <c r="D78" s="30"/>
      <c r="E78" s="40"/>
      <c r="F78" s="40"/>
      <c r="G78" s="32"/>
      <c r="H78" s="29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</row>
    <row r="79" spans="1:36" ht="12.75" customHeight="1" x14ac:dyDescent="0.3">
      <c r="A79" s="1"/>
      <c r="B79" s="1"/>
      <c r="C79" s="29"/>
      <c r="D79" s="30"/>
      <c r="E79" s="40"/>
      <c r="F79" s="40"/>
      <c r="G79" s="32"/>
      <c r="H79" s="29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</row>
    <row r="80" spans="1:36" ht="12.75" customHeight="1" x14ac:dyDescent="0.3">
      <c r="A80" s="1"/>
      <c r="B80" s="1"/>
      <c r="C80" s="29"/>
      <c r="D80" s="30"/>
      <c r="E80" s="40"/>
      <c r="F80" s="40"/>
      <c r="G80" s="32"/>
      <c r="H80" s="29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</row>
    <row r="81" spans="1:36" ht="12.75" customHeight="1" x14ac:dyDescent="0.3">
      <c r="A81" s="1"/>
      <c r="B81" s="1"/>
      <c r="C81" s="29"/>
      <c r="D81" s="30"/>
      <c r="E81" s="40"/>
      <c r="F81" s="40"/>
      <c r="G81" s="32"/>
      <c r="H81" s="29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</row>
    <row r="82" spans="1:36" ht="12.75" customHeight="1" x14ac:dyDescent="0.3">
      <c r="A82" s="1"/>
      <c r="B82" s="1"/>
      <c r="C82" s="29"/>
      <c r="D82" s="30"/>
      <c r="E82" s="40"/>
      <c r="F82" s="40"/>
      <c r="G82" s="32"/>
      <c r="H82" s="29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</row>
    <row r="83" spans="1:36" ht="12.75" customHeight="1" x14ac:dyDescent="0.3">
      <c r="A83" s="1"/>
      <c r="B83" s="1"/>
      <c r="C83" s="29"/>
      <c r="D83" s="30"/>
      <c r="E83" s="40"/>
      <c r="F83" s="40"/>
      <c r="G83" s="32"/>
      <c r="H83" s="29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</row>
    <row r="84" spans="1:36" ht="12.75" customHeight="1" x14ac:dyDescent="0.3">
      <c r="A84" s="1"/>
      <c r="B84" s="1"/>
      <c r="C84" s="29"/>
      <c r="D84" s="30"/>
      <c r="E84" s="40"/>
      <c r="F84" s="40"/>
      <c r="G84" s="32"/>
      <c r="H84" s="29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</row>
    <row r="85" spans="1:36" ht="12.75" customHeight="1" x14ac:dyDescent="0.3">
      <c r="A85" s="1"/>
      <c r="B85" s="1"/>
      <c r="C85" s="29"/>
      <c r="D85" s="30"/>
      <c r="E85" s="40"/>
      <c r="F85" s="40"/>
      <c r="G85" s="32"/>
      <c r="H85" s="29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</row>
    <row r="86" spans="1:36" ht="12.75" customHeight="1" x14ac:dyDescent="0.3">
      <c r="A86" s="1"/>
      <c r="B86" s="1"/>
      <c r="C86" s="29"/>
      <c r="D86" s="30"/>
      <c r="E86" s="40"/>
      <c r="F86" s="40"/>
      <c r="G86" s="32"/>
      <c r="H86" s="29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</row>
    <row r="87" spans="1:36" ht="12.75" customHeight="1" x14ac:dyDescent="0.3">
      <c r="A87" s="1"/>
      <c r="B87" s="1"/>
      <c r="C87" s="29"/>
      <c r="D87" s="30"/>
      <c r="E87" s="40"/>
      <c r="F87" s="40"/>
      <c r="G87" s="32"/>
      <c r="H87" s="29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</row>
    <row r="88" spans="1:36" ht="12.75" customHeight="1" x14ac:dyDescent="0.3">
      <c r="A88" s="1"/>
      <c r="B88" s="1"/>
      <c r="C88" s="29"/>
      <c r="D88" s="30"/>
      <c r="E88" s="40"/>
      <c r="F88" s="40"/>
      <c r="G88" s="32"/>
      <c r="H88" s="29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</row>
    <row r="89" spans="1:36" ht="12.75" customHeight="1" x14ac:dyDescent="0.3">
      <c r="A89" s="1"/>
      <c r="B89" s="1"/>
      <c r="C89" s="29"/>
      <c r="D89" s="30"/>
      <c r="E89" s="40"/>
      <c r="F89" s="40"/>
      <c r="G89" s="32"/>
      <c r="H89" s="29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</row>
    <row r="90" spans="1:36" ht="12.75" customHeight="1" x14ac:dyDescent="0.3">
      <c r="A90" s="1"/>
      <c r="B90" s="1"/>
      <c r="C90" s="29"/>
      <c r="D90" s="30"/>
      <c r="E90" s="40"/>
      <c r="F90" s="40"/>
      <c r="G90" s="32"/>
      <c r="H90" s="29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</row>
    <row r="91" spans="1:36" ht="12.75" customHeight="1" x14ac:dyDescent="0.3">
      <c r="A91" s="1"/>
      <c r="B91" s="1"/>
      <c r="C91" s="29"/>
      <c r="D91" s="30"/>
      <c r="E91" s="40"/>
      <c r="F91" s="40"/>
      <c r="G91" s="32"/>
      <c r="H91" s="29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</row>
    <row r="92" spans="1:36" ht="12.75" customHeight="1" x14ac:dyDescent="0.3">
      <c r="A92" s="1"/>
      <c r="B92" s="1"/>
      <c r="C92" s="29"/>
      <c r="D92" s="30"/>
      <c r="E92" s="40"/>
      <c r="F92" s="40"/>
      <c r="G92" s="32"/>
      <c r="H92" s="29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</row>
    <row r="93" spans="1:36" ht="12.75" customHeight="1" x14ac:dyDescent="0.3">
      <c r="A93" s="1"/>
      <c r="B93" s="1"/>
      <c r="C93" s="29"/>
      <c r="D93" s="30"/>
      <c r="E93" s="40"/>
      <c r="F93" s="40"/>
      <c r="G93" s="32"/>
      <c r="H93" s="29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</row>
    <row r="94" spans="1:36" ht="12.75" customHeight="1" x14ac:dyDescent="0.3">
      <c r="A94" s="1"/>
      <c r="B94" s="1"/>
      <c r="C94" s="29"/>
      <c r="D94" s="30"/>
      <c r="E94" s="40"/>
      <c r="F94" s="40"/>
      <c r="G94" s="32"/>
      <c r="H94" s="29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</row>
    <row r="95" spans="1:36" ht="12.75" customHeight="1" x14ac:dyDescent="0.3">
      <c r="A95" s="1"/>
      <c r="B95" s="1"/>
      <c r="C95" s="29"/>
      <c r="D95" s="30"/>
      <c r="E95" s="40"/>
      <c r="F95" s="40"/>
      <c r="G95" s="32"/>
      <c r="H95" s="29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</row>
    <row r="96" spans="1:36" ht="12.75" customHeight="1" x14ac:dyDescent="0.3">
      <c r="A96" s="1"/>
      <c r="B96" s="1"/>
      <c r="C96" s="29"/>
      <c r="D96" s="30"/>
      <c r="E96" s="40"/>
      <c r="F96" s="40"/>
      <c r="G96" s="32"/>
      <c r="H96" s="29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</row>
    <row r="97" spans="1:36" ht="12.75" customHeight="1" x14ac:dyDescent="0.3">
      <c r="A97" s="1"/>
      <c r="B97" s="1"/>
      <c r="C97" s="29"/>
      <c r="D97" s="30"/>
      <c r="E97" s="40"/>
      <c r="F97" s="40"/>
      <c r="G97" s="32"/>
      <c r="H97" s="29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</row>
    <row r="98" spans="1:36" ht="12.75" customHeight="1" x14ac:dyDescent="0.3">
      <c r="A98" s="1"/>
      <c r="B98" s="1"/>
      <c r="C98" s="29"/>
      <c r="D98" s="30"/>
      <c r="E98" s="40"/>
      <c r="F98" s="40"/>
      <c r="G98" s="32"/>
      <c r="H98" s="29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</row>
    <row r="99" spans="1:36" ht="12.75" customHeight="1" x14ac:dyDescent="0.3">
      <c r="A99" s="1"/>
      <c r="B99" s="1"/>
      <c r="C99" s="29"/>
      <c r="D99" s="30"/>
      <c r="E99" s="40"/>
      <c r="F99" s="40"/>
      <c r="G99" s="32"/>
      <c r="H99" s="29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</row>
    <row r="100" spans="1:36" ht="12.75" customHeight="1" x14ac:dyDescent="0.3">
      <c r="A100" s="1"/>
      <c r="B100" s="1"/>
      <c r="C100" s="29"/>
      <c r="D100" s="30"/>
      <c r="E100" s="40"/>
      <c r="F100" s="40"/>
      <c r="G100" s="32"/>
      <c r="H100" s="29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</row>
    <row r="101" spans="1:36" ht="12.75" customHeight="1" x14ac:dyDescent="0.3">
      <c r="A101" s="1"/>
      <c r="B101" s="1"/>
      <c r="C101" s="29"/>
      <c r="D101" s="30"/>
      <c r="E101" s="40"/>
      <c r="F101" s="40"/>
      <c r="G101" s="32"/>
      <c r="H101" s="29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</row>
    <row r="102" spans="1:36" ht="12.75" customHeight="1" x14ac:dyDescent="0.3">
      <c r="A102" s="1"/>
      <c r="B102" s="1"/>
      <c r="C102" s="29"/>
      <c r="D102" s="30"/>
      <c r="E102" s="40"/>
      <c r="F102" s="40"/>
      <c r="G102" s="32"/>
      <c r="H102" s="29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</row>
    <row r="103" spans="1:36" ht="12.75" customHeight="1" x14ac:dyDescent="0.3">
      <c r="A103" s="1"/>
      <c r="B103" s="1"/>
      <c r="C103" s="29"/>
      <c r="D103" s="30"/>
      <c r="E103" s="40"/>
      <c r="F103" s="40"/>
      <c r="G103" s="32"/>
      <c r="H103" s="29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</row>
    <row r="104" spans="1:36" ht="12.75" customHeight="1" x14ac:dyDescent="0.3">
      <c r="A104" s="1"/>
      <c r="B104" s="1"/>
      <c r="C104" s="29"/>
      <c r="D104" s="30"/>
      <c r="E104" s="40"/>
      <c r="F104" s="40"/>
      <c r="G104" s="32"/>
      <c r="H104" s="29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</row>
    <row r="105" spans="1:36" ht="12.75" customHeight="1" x14ac:dyDescent="0.3">
      <c r="A105" s="1"/>
      <c r="B105" s="1"/>
      <c r="C105" s="29"/>
      <c r="D105" s="30"/>
      <c r="E105" s="40"/>
      <c r="F105" s="40"/>
      <c r="G105" s="32"/>
      <c r="H105" s="29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</row>
    <row r="106" spans="1:36" ht="12.75" customHeight="1" x14ac:dyDescent="0.3">
      <c r="A106" s="1"/>
      <c r="B106" s="1"/>
      <c r="C106" s="29"/>
      <c r="D106" s="30"/>
      <c r="E106" s="40"/>
      <c r="F106" s="40"/>
      <c r="G106" s="32"/>
      <c r="H106" s="29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</row>
    <row r="107" spans="1:36" ht="12.75" customHeight="1" x14ac:dyDescent="0.3">
      <c r="A107" s="1"/>
      <c r="B107" s="1"/>
      <c r="C107" s="29"/>
      <c r="D107" s="30"/>
      <c r="E107" s="40"/>
      <c r="F107" s="40"/>
      <c r="G107" s="32"/>
      <c r="H107" s="29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</row>
    <row r="108" spans="1:36" ht="12.75" customHeight="1" x14ac:dyDescent="0.3">
      <c r="A108" s="1"/>
      <c r="B108" s="1"/>
      <c r="C108" s="29"/>
      <c r="D108" s="30"/>
      <c r="E108" s="40"/>
      <c r="F108" s="40"/>
      <c r="G108" s="32"/>
      <c r="H108" s="29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</row>
    <row r="109" spans="1:36" ht="12.75" customHeight="1" x14ac:dyDescent="0.3">
      <c r="A109" s="1"/>
      <c r="B109" s="1"/>
      <c r="C109" s="29"/>
      <c r="D109" s="30"/>
      <c r="E109" s="40"/>
      <c r="F109" s="40"/>
      <c r="G109" s="32"/>
      <c r="H109" s="29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3"/>
      <c r="U109" s="33"/>
      <c r="V109" s="33"/>
      <c r="W109" s="33"/>
      <c r="X109" s="33"/>
      <c r="Y109" s="33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</row>
    <row r="110" spans="1:36" ht="12.75" customHeight="1" x14ac:dyDescent="0.3">
      <c r="A110" s="1"/>
      <c r="B110" s="1"/>
      <c r="C110" s="29"/>
      <c r="D110" s="30"/>
      <c r="E110" s="40"/>
      <c r="F110" s="40"/>
      <c r="G110" s="32"/>
      <c r="H110" s="29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3"/>
      <c r="U110" s="33"/>
      <c r="V110" s="33"/>
      <c r="W110" s="33"/>
      <c r="X110" s="33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</row>
    <row r="111" spans="1:36" ht="12.75" customHeight="1" x14ac:dyDescent="0.3">
      <c r="A111" s="1"/>
      <c r="B111" s="1"/>
      <c r="C111" s="29"/>
      <c r="D111" s="30"/>
      <c r="E111" s="40"/>
      <c r="F111" s="40"/>
      <c r="G111" s="32"/>
      <c r="H111" s="29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3"/>
      <c r="U111" s="33"/>
      <c r="V111" s="33"/>
      <c r="W111" s="33"/>
      <c r="X111" s="33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</row>
    <row r="112" spans="1:36" ht="12.75" customHeight="1" x14ac:dyDescent="0.3">
      <c r="A112" s="1"/>
      <c r="B112" s="1"/>
      <c r="C112" s="29"/>
      <c r="D112" s="30"/>
      <c r="E112" s="40"/>
      <c r="F112" s="40"/>
      <c r="G112" s="32"/>
      <c r="H112" s="29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3"/>
      <c r="U112" s="33"/>
      <c r="V112" s="33"/>
      <c r="W112" s="33"/>
      <c r="X112" s="33"/>
      <c r="Y112" s="33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</row>
    <row r="113" spans="1:36" ht="12.75" customHeight="1" x14ac:dyDescent="0.3">
      <c r="A113" s="1"/>
      <c r="B113" s="1"/>
      <c r="C113" s="29"/>
      <c r="D113" s="30"/>
      <c r="E113" s="40"/>
      <c r="F113" s="40"/>
      <c r="G113" s="32"/>
      <c r="H113" s="29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</row>
    <row r="114" spans="1:36" ht="12.75" customHeight="1" x14ac:dyDescent="0.3">
      <c r="A114" s="1"/>
      <c r="B114" s="1"/>
      <c r="C114" s="29"/>
      <c r="D114" s="30"/>
      <c r="E114" s="40"/>
      <c r="F114" s="40"/>
      <c r="G114" s="32"/>
      <c r="H114" s="29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</row>
    <row r="115" spans="1:36" ht="12.75" customHeight="1" x14ac:dyDescent="0.3">
      <c r="A115" s="1"/>
      <c r="B115" s="1"/>
      <c r="C115" s="29"/>
      <c r="D115" s="30"/>
      <c r="E115" s="40"/>
      <c r="F115" s="40"/>
      <c r="G115" s="32"/>
      <c r="H115" s="29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</row>
    <row r="116" spans="1:36" ht="12.75" customHeight="1" x14ac:dyDescent="0.3">
      <c r="A116" s="1"/>
      <c r="B116" s="1"/>
      <c r="C116" s="29"/>
      <c r="D116" s="30"/>
      <c r="E116" s="40"/>
      <c r="F116" s="40"/>
      <c r="G116" s="32"/>
      <c r="H116" s="29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</row>
    <row r="117" spans="1:36" ht="12.75" customHeight="1" x14ac:dyDescent="0.3">
      <c r="A117" s="1"/>
      <c r="B117" s="1"/>
      <c r="C117" s="29"/>
      <c r="D117" s="30"/>
      <c r="E117" s="40"/>
      <c r="F117" s="40"/>
      <c r="G117" s="32"/>
      <c r="H117" s="29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</row>
    <row r="118" spans="1:36" ht="12.75" customHeight="1" x14ac:dyDescent="0.3">
      <c r="A118" s="1"/>
      <c r="B118" s="1"/>
      <c r="C118" s="29"/>
      <c r="D118" s="30"/>
      <c r="E118" s="40"/>
      <c r="F118" s="40"/>
      <c r="G118" s="32"/>
      <c r="H118" s="29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</row>
    <row r="119" spans="1:36" ht="12.75" customHeight="1" x14ac:dyDescent="0.3">
      <c r="A119" s="1"/>
      <c r="B119" s="1"/>
      <c r="C119" s="29"/>
      <c r="D119" s="30"/>
      <c r="E119" s="40"/>
      <c r="F119" s="40"/>
      <c r="G119" s="32"/>
      <c r="H119" s="29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</row>
    <row r="120" spans="1:36" ht="12.75" customHeight="1" x14ac:dyDescent="0.3">
      <c r="A120" s="1"/>
      <c r="B120" s="1"/>
      <c r="C120" s="29"/>
      <c r="D120" s="30"/>
      <c r="E120" s="40"/>
      <c r="F120" s="40"/>
      <c r="G120" s="32"/>
      <c r="H120" s="29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</row>
    <row r="121" spans="1:36" ht="12.75" customHeight="1" x14ac:dyDescent="0.3">
      <c r="A121" s="1"/>
      <c r="B121" s="1"/>
      <c r="C121" s="29"/>
      <c r="D121" s="30"/>
      <c r="E121" s="40"/>
      <c r="F121" s="40"/>
      <c r="G121" s="32"/>
      <c r="H121" s="29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</row>
    <row r="122" spans="1:36" ht="12.75" customHeight="1" x14ac:dyDescent="0.3">
      <c r="A122" s="1"/>
      <c r="B122" s="1"/>
      <c r="C122" s="29"/>
      <c r="D122" s="30"/>
      <c r="E122" s="40"/>
      <c r="F122" s="40"/>
      <c r="G122" s="32"/>
      <c r="H122" s="29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</row>
    <row r="123" spans="1:36" ht="12.75" customHeight="1" x14ac:dyDescent="0.3">
      <c r="A123" s="1"/>
      <c r="B123" s="1"/>
      <c r="C123" s="29"/>
      <c r="D123" s="30"/>
      <c r="E123" s="40"/>
      <c r="F123" s="40"/>
      <c r="G123" s="32"/>
      <c r="H123" s="29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</row>
    <row r="124" spans="1:36" ht="12.75" customHeight="1" x14ac:dyDescent="0.3">
      <c r="A124" s="1"/>
      <c r="B124" s="1"/>
      <c r="C124" s="29"/>
      <c r="D124" s="30"/>
      <c r="E124" s="40"/>
      <c r="F124" s="40"/>
      <c r="G124" s="32"/>
      <c r="H124" s="29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</row>
    <row r="125" spans="1:36" ht="12.75" customHeight="1" x14ac:dyDescent="0.3">
      <c r="A125" s="1"/>
      <c r="B125" s="1"/>
      <c r="C125" s="29"/>
      <c r="D125" s="30"/>
      <c r="E125" s="40"/>
      <c r="F125" s="40"/>
      <c r="G125" s="32"/>
      <c r="H125" s="29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</row>
    <row r="126" spans="1:36" ht="12.75" customHeight="1" x14ac:dyDescent="0.3">
      <c r="A126" s="1"/>
      <c r="B126" s="1"/>
      <c r="C126" s="29"/>
      <c r="D126" s="30"/>
      <c r="E126" s="40"/>
      <c r="F126" s="40"/>
      <c r="G126" s="32"/>
      <c r="H126" s="29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</row>
    <row r="127" spans="1:36" ht="12.75" customHeight="1" x14ac:dyDescent="0.3">
      <c r="A127" s="1"/>
      <c r="B127" s="1"/>
      <c r="C127" s="29"/>
      <c r="D127" s="30"/>
      <c r="E127" s="40"/>
      <c r="F127" s="40"/>
      <c r="G127" s="32"/>
      <c r="H127" s="29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</row>
    <row r="128" spans="1:36" ht="12.75" customHeight="1" x14ac:dyDescent="0.3">
      <c r="A128" s="1"/>
      <c r="B128" s="1"/>
      <c r="C128" s="29"/>
      <c r="D128" s="30"/>
      <c r="E128" s="40"/>
      <c r="F128" s="40"/>
      <c r="G128" s="32"/>
      <c r="H128" s="29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</row>
    <row r="129" spans="1:36" ht="12.75" customHeight="1" x14ac:dyDescent="0.3">
      <c r="A129" s="1"/>
      <c r="B129" s="1"/>
      <c r="C129" s="29"/>
      <c r="D129" s="30"/>
      <c r="E129" s="40"/>
      <c r="F129" s="40"/>
      <c r="G129" s="32"/>
      <c r="H129" s="29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</row>
    <row r="130" spans="1:36" ht="12.75" customHeight="1" x14ac:dyDescent="0.3">
      <c r="A130" s="1"/>
      <c r="B130" s="1"/>
      <c r="C130" s="29"/>
      <c r="D130" s="30"/>
      <c r="E130" s="40"/>
      <c r="F130" s="40"/>
      <c r="G130" s="32"/>
      <c r="H130" s="29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</row>
    <row r="131" spans="1:36" ht="12.75" customHeight="1" x14ac:dyDescent="0.3">
      <c r="A131" s="1"/>
      <c r="B131" s="1"/>
      <c r="C131" s="29"/>
      <c r="D131" s="30"/>
      <c r="E131" s="40"/>
      <c r="F131" s="40"/>
      <c r="G131" s="32"/>
      <c r="H131" s="29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</row>
    <row r="132" spans="1:36" ht="12.75" customHeight="1" x14ac:dyDescent="0.3">
      <c r="A132" s="1"/>
      <c r="B132" s="1"/>
      <c r="C132" s="29"/>
      <c r="D132" s="30"/>
      <c r="E132" s="40"/>
      <c r="F132" s="40"/>
      <c r="G132" s="32"/>
      <c r="H132" s="29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</row>
    <row r="133" spans="1:36" ht="12.75" customHeight="1" x14ac:dyDescent="0.3">
      <c r="A133" s="1"/>
      <c r="B133" s="1"/>
      <c r="C133" s="29"/>
      <c r="D133" s="30"/>
      <c r="E133" s="40"/>
      <c r="F133" s="40"/>
      <c r="G133" s="32"/>
      <c r="H133" s="29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</row>
    <row r="134" spans="1:36" ht="12.75" customHeight="1" x14ac:dyDescent="0.3">
      <c r="A134" s="1"/>
      <c r="B134" s="1"/>
      <c r="C134" s="29"/>
      <c r="D134" s="30"/>
      <c r="E134" s="40"/>
      <c r="F134" s="40"/>
      <c r="G134" s="32"/>
      <c r="H134" s="29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</row>
    <row r="135" spans="1:36" ht="12.75" customHeight="1" x14ac:dyDescent="0.3">
      <c r="A135" s="1"/>
      <c r="B135" s="1"/>
      <c r="C135" s="29"/>
      <c r="D135" s="30"/>
      <c r="E135" s="40"/>
      <c r="F135" s="40"/>
      <c r="G135" s="32"/>
      <c r="H135" s="29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</row>
    <row r="136" spans="1:36" ht="12.75" customHeight="1" x14ac:dyDescent="0.3">
      <c r="A136" s="1"/>
      <c r="B136" s="1"/>
      <c r="C136" s="29"/>
      <c r="D136" s="30"/>
      <c r="E136" s="40"/>
      <c r="F136" s="40"/>
      <c r="G136" s="32"/>
      <c r="H136" s="29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</row>
    <row r="137" spans="1:36" ht="12.75" customHeight="1" x14ac:dyDescent="0.3">
      <c r="A137" s="1"/>
      <c r="B137" s="1"/>
      <c r="C137" s="29"/>
      <c r="D137" s="30"/>
      <c r="E137" s="40"/>
      <c r="F137" s="40"/>
      <c r="G137" s="32"/>
      <c r="H137" s="29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</row>
    <row r="138" spans="1:36" ht="12.75" customHeight="1" x14ac:dyDescent="0.3">
      <c r="A138" s="1"/>
      <c r="B138" s="1"/>
      <c r="C138" s="29"/>
      <c r="D138" s="30"/>
      <c r="E138" s="40"/>
      <c r="F138" s="40"/>
      <c r="G138" s="32"/>
      <c r="H138" s="29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</row>
    <row r="139" spans="1:36" ht="12.75" customHeight="1" x14ac:dyDescent="0.3">
      <c r="A139" s="1"/>
      <c r="B139" s="1"/>
      <c r="C139" s="29"/>
      <c r="D139" s="30"/>
      <c r="E139" s="40"/>
      <c r="F139" s="40"/>
      <c r="G139" s="32"/>
      <c r="H139" s="29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</row>
    <row r="140" spans="1:36" ht="12.75" customHeight="1" x14ac:dyDescent="0.3">
      <c r="A140" s="1"/>
      <c r="B140" s="1"/>
      <c r="C140" s="29"/>
      <c r="D140" s="30"/>
      <c r="E140" s="40"/>
      <c r="F140" s="40"/>
      <c r="G140" s="32"/>
      <c r="H140" s="29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</row>
    <row r="141" spans="1:36" ht="12.75" customHeight="1" x14ac:dyDescent="0.3">
      <c r="A141" s="1"/>
      <c r="B141" s="1"/>
      <c r="C141" s="29"/>
      <c r="D141" s="30"/>
      <c r="E141" s="40"/>
      <c r="F141" s="40"/>
      <c r="G141" s="32"/>
      <c r="H141" s="29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</row>
    <row r="142" spans="1:36" ht="12.75" customHeight="1" x14ac:dyDescent="0.3">
      <c r="A142" s="1"/>
      <c r="B142" s="1"/>
      <c r="C142" s="29"/>
      <c r="D142" s="30"/>
      <c r="E142" s="40"/>
      <c r="F142" s="40"/>
      <c r="G142" s="32"/>
      <c r="H142" s="29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</row>
    <row r="143" spans="1:36" ht="12.75" customHeight="1" x14ac:dyDescent="0.3">
      <c r="A143" s="1"/>
      <c r="B143" s="1"/>
      <c r="C143" s="29"/>
      <c r="D143" s="30"/>
      <c r="E143" s="40"/>
      <c r="F143" s="40"/>
      <c r="G143" s="32"/>
      <c r="H143" s="29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</row>
    <row r="144" spans="1:36" ht="12.75" customHeight="1" x14ac:dyDescent="0.3">
      <c r="A144" s="1"/>
      <c r="B144" s="1"/>
      <c r="C144" s="29"/>
      <c r="D144" s="30"/>
      <c r="E144" s="40"/>
      <c r="F144" s="40"/>
      <c r="G144" s="32"/>
      <c r="H144" s="29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</row>
    <row r="145" spans="1:36" ht="12.75" customHeight="1" x14ac:dyDescent="0.3">
      <c r="A145" s="1"/>
      <c r="B145" s="1"/>
      <c r="C145" s="29"/>
      <c r="D145" s="30"/>
      <c r="E145" s="40"/>
      <c r="F145" s="40"/>
      <c r="G145" s="32"/>
      <c r="H145" s="29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</row>
    <row r="146" spans="1:36" ht="12.75" customHeight="1" x14ac:dyDescent="0.3">
      <c r="A146" s="1"/>
      <c r="B146" s="1"/>
      <c r="C146" s="29"/>
      <c r="D146" s="30"/>
      <c r="E146" s="40"/>
      <c r="F146" s="40"/>
      <c r="G146" s="32"/>
      <c r="H146" s="29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</row>
    <row r="147" spans="1:36" ht="12.75" customHeight="1" x14ac:dyDescent="0.3">
      <c r="A147" s="1"/>
      <c r="B147" s="1"/>
      <c r="C147" s="29"/>
      <c r="D147" s="30"/>
      <c r="E147" s="40"/>
      <c r="F147" s="40"/>
      <c r="G147" s="32"/>
      <c r="H147" s="29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</row>
    <row r="148" spans="1:36" ht="12.75" customHeight="1" x14ac:dyDescent="0.3">
      <c r="A148" s="1"/>
      <c r="B148" s="1"/>
      <c r="C148" s="29"/>
      <c r="D148" s="30"/>
      <c r="E148" s="40"/>
      <c r="F148" s="40"/>
      <c r="G148" s="32"/>
      <c r="H148" s="29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</row>
    <row r="149" spans="1:36" ht="12.75" customHeight="1" x14ac:dyDescent="0.3">
      <c r="A149" s="1"/>
      <c r="B149" s="1"/>
      <c r="C149" s="29"/>
      <c r="D149" s="30"/>
      <c r="E149" s="40"/>
      <c r="F149" s="40"/>
      <c r="G149" s="32"/>
      <c r="H149" s="29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</row>
    <row r="150" spans="1:36" ht="12.75" customHeight="1" x14ac:dyDescent="0.3">
      <c r="A150" s="1"/>
      <c r="B150" s="1"/>
      <c r="C150" s="29"/>
      <c r="D150" s="30"/>
      <c r="E150" s="40"/>
      <c r="F150" s="40"/>
      <c r="G150" s="32"/>
      <c r="H150" s="29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</row>
    <row r="151" spans="1:36" ht="12.75" customHeight="1" x14ac:dyDescent="0.3">
      <c r="A151" s="1"/>
      <c r="B151" s="1"/>
      <c r="C151" s="29"/>
      <c r="D151" s="30"/>
      <c r="E151" s="40"/>
      <c r="F151" s="40"/>
      <c r="G151" s="32"/>
      <c r="H151" s="29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</row>
    <row r="152" spans="1:36" ht="12.75" customHeight="1" x14ac:dyDescent="0.3">
      <c r="A152" s="1"/>
      <c r="B152" s="1"/>
      <c r="C152" s="29"/>
      <c r="D152" s="30"/>
      <c r="E152" s="40"/>
      <c r="F152" s="40"/>
      <c r="G152" s="32"/>
      <c r="H152" s="29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</row>
    <row r="153" spans="1:36" ht="12.75" customHeight="1" x14ac:dyDescent="0.3">
      <c r="A153" s="1"/>
      <c r="B153" s="1"/>
      <c r="C153" s="29"/>
      <c r="D153" s="30"/>
      <c r="E153" s="40"/>
      <c r="F153" s="40"/>
      <c r="G153" s="32"/>
      <c r="H153" s="29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</row>
    <row r="154" spans="1:36" ht="12.75" customHeight="1" x14ac:dyDescent="0.3">
      <c r="A154" s="1"/>
      <c r="B154" s="1"/>
      <c r="C154" s="29"/>
      <c r="D154" s="30"/>
      <c r="E154" s="40"/>
      <c r="F154" s="40"/>
      <c r="G154" s="32"/>
      <c r="H154" s="29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</row>
    <row r="155" spans="1:36" ht="12.75" customHeight="1" x14ac:dyDescent="0.3">
      <c r="A155" s="1"/>
      <c r="B155" s="1"/>
      <c r="C155" s="29"/>
      <c r="D155" s="30"/>
      <c r="E155" s="40"/>
      <c r="F155" s="40"/>
      <c r="G155" s="32"/>
      <c r="H155" s="29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3"/>
      <c r="U155" s="33"/>
      <c r="V155" s="33"/>
      <c r="W155" s="33"/>
      <c r="X155" s="33"/>
      <c r="Y155" s="33"/>
      <c r="Z155" s="33"/>
      <c r="AA155" s="33"/>
      <c r="AB155" s="33"/>
      <c r="AC155" s="33"/>
      <c r="AD155" s="33"/>
      <c r="AE155" s="33"/>
      <c r="AF155" s="33"/>
      <c r="AG155" s="33"/>
      <c r="AH155" s="33"/>
      <c r="AI155" s="33"/>
      <c r="AJ155" s="33"/>
    </row>
    <row r="156" spans="1:36" ht="12.75" customHeight="1" x14ac:dyDescent="0.3">
      <c r="A156" s="1"/>
      <c r="B156" s="1"/>
      <c r="C156" s="29"/>
      <c r="D156" s="30"/>
      <c r="E156" s="40"/>
      <c r="F156" s="40"/>
      <c r="G156" s="32"/>
      <c r="H156" s="29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</row>
    <row r="157" spans="1:36" ht="12.75" customHeight="1" x14ac:dyDescent="0.3">
      <c r="A157" s="1"/>
      <c r="B157" s="1"/>
      <c r="C157" s="29"/>
      <c r="D157" s="30"/>
      <c r="E157" s="40"/>
      <c r="F157" s="40"/>
      <c r="G157" s="32"/>
      <c r="H157" s="29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</row>
    <row r="158" spans="1:36" ht="12.75" customHeight="1" x14ac:dyDescent="0.3">
      <c r="A158" s="1"/>
      <c r="B158" s="1"/>
      <c r="C158" s="29"/>
      <c r="D158" s="30"/>
      <c r="E158" s="40"/>
      <c r="F158" s="40"/>
      <c r="G158" s="32"/>
      <c r="H158" s="29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</row>
    <row r="159" spans="1:36" ht="12.75" customHeight="1" x14ac:dyDescent="0.3">
      <c r="A159" s="1"/>
      <c r="B159" s="1"/>
      <c r="C159" s="29"/>
      <c r="D159" s="30"/>
      <c r="E159" s="40"/>
      <c r="F159" s="40"/>
      <c r="G159" s="32"/>
      <c r="H159" s="29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</row>
    <row r="160" spans="1:36" ht="12.75" customHeight="1" x14ac:dyDescent="0.3">
      <c r="A160" s="1"/>
      <c r="B160" s="1"/>
      <c r="C160" s="29"/>
      <c r="D160" s="30"/>
      <c r="E160" s="40"/>
      <c r="F160" s="40"/>
      <c r="G160" s="32"/>
      <c r="H160" s="29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</row>
    <row r="161" spans="1:36" ht="12.75" customHeight="1" x14ac:dyDescent="0.3">
      <c r="A161" s="1"/>
      <c r="B161" s="1"/>
      <c r="C161" s="29"/>
      <c r="D161" s="30"/>
      <c r="E161" s="40"/>
      <c r="F161" s="40"/>
      <c r="G161" s="32"/>
      <c r="H161" s="29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</row>
    <row r="162" spans="1:36" ht="12.75" customHeight="1" x14ac:dyDescent="0.3">
      <c r="A162" s="1"/>
      <c r="B162" s="1"/>
      <c r="C162" s="29"/>
      <c r="D162" s="30"/>
      <c r="E162" s="40"/>
      <c r="F162" s="40"/>
      <c r="G162" s="32"/>
      <c r="H162" s="29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</row>
    <row r="163" spans="1:36" ht="12.75" customHeight="1" x14ac:dyDescent="0.3">
      <c r="A163" s="1"/>
      <c r="B163" s="1"/>
      <c r="C163" s="29"/>
      <c r="D163" s="30"/>
      <c r="E163" s="40"/>
      <c r="F163" s="40"/>
      <c r="G163" s="32"/>
      <c r="H163" s="29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3"/>
      <c r="U163" s="33"/>
      <c r="V163" s="33"/>
      <c r="W163" s="33"/>
      <c r="X163" s="33"/>
      <c r="Y163" s="33"/>
      <c r="Z163" s="33"/>
      <c r="AA163" s="33"/>
      <c r="AB163" s="33"/>
      <c r="AC163" s="33"/>
      <c r="AD163" s="33"/>
      <c r="AE163" s="33"/>
      <c r="AF163" s="33"/>
      <c r="AG163" s="33"/>
      <c r="AH163" s="33"/>
      <c r="AI163" s="33"/>
      <c r="AJ163" s="33"/>
    </row>
    <row r="164" spans="1:36" ht="12.75" customHeight="1" x14ac:dyDescent="0.3">
      <c r="A164" s="1"/>
      <c r="B164" s="1"/>
      <c r="C164" s="29"/>
      <c r="D164" s="30"/>
      <c r="E164" s="40"/>
      <c r="F164" s="40"/>
      <c r="G164" s="32"/>
      <c r="H164" s="29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3"/>
      <c r="U164" s="33"/>
      <c r="V164" s="33"/>
      <c r="W164" s="33"/>
      <c r="X164" s="33"/>
      <c r="Y164" s="33"/>
      <c r="Z164" s="33"/>
      <c r="AA164" s="33"/>
      <c r="AB164" s="33"/>
      <c r="AC164" s="33"/>
      <c r="AD164" s="33"/>
      <c r="AE164" s="33"/>
      <c r="AF164" s="33"/>
      <c r="AG164" s="33"/>
      <c r="AH164" s="33"/>
      <c r="AI164" s="33"/>
      <c r="AJ164" s="33"/>
    </row>
    <row r="165" spans="1:36" ht="12.75" customHeight="1" x14ac:dyDescent="0.3">
      <c r="A165" s="1"/>
      <c r="B165" s="1"/>
      <c r="C165" s="29"/>
      <c r="D165" s="30"/>
      <c r="E165" s="40"/>
      <c r="F165" s="40"/>
      <c r="G165" s="32"/>
      <c r="H165" s="29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</row>
    <row r="166" spans="1:36" ht="12.75" customHeight="1" x14ac:dyDescent="0.3">
      <c r="A166" s="1"/>
      <c r="B166" s="1"/>
      <c r="C166" s="29"/>
      <c r="D166" s="30"/>
      <c r="E166" s="40"/>
      <c r="F166" s="40"/>
      <c r="G166" s="32"/>
      <c r="H166" s="29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</row>
    <row r="167" spans="1:36" ht="12.75" customHeight="1" x14ac:dyDescent="0.3">
      <c r="A167" s="1"/>
      <c r="B167" s="1"/>
      <c r="C167" s="29"/>
      <c r="D167" s="30"/>
      <c r="E167" s="40"/>
      <c r="F167" s="40"/>
      <c r="G167" s="32"/>
      <c r="H167" s="29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</row>
    <row r="168" spans="1:36" ht="12.75" customHeight="1" x14ac:dyDescent="0.3">
      <c r="A168" s="1"/>
      <c r="B168" s="1"/>
      <c r="C168" s="29"/>
      <c r="D168" s="30"/>
      <c r="E168" s="40"/>
      <c r="F168" s="40"/>
      <c r="G168" s="32"/>
      <c r="H168" s="29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</row>
    <row r="169" spans="1:36" ht="12.75" customHeight="1" x14ac:dyDescent="0.3">
      <c r="A169" s="1"/>
      <c r="B169" s="1"/>
      <c r="C169" s="29"/>
      <c r="D169" s="30"/>
      <c r="E169" s="40"/>
      <c r="F169" s="40"/>
      <c r="G169" s="32"/>
      <c r="H169" s="29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</row>
    <row r="170" spans="1:36" ht="12.75" customHeight="1" x14ac:dyDescent="0.3">
      <c r="A170" s="1"/>
      <c r="B170" s="1"/>
      <c r="C170" s="29"/>
      <c r="D170" s="30"/>
      <c r="E170" s="40"/>
      <c r="F170" s="40"/>
      <c r="G170" s="32"/>
      <c r="H170" s="29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</row>
    <row r="171" spans="1:36" ht="12.75" customHeight="1" x14ac:dyDescent="0.3">
      <c r="A171" s="1"/>
      <c r="B171" s="1"/>
      <c r="C171" s="29"/>
      <c r="D171" s="30"/>
      <c r="E171" s="40"/>
      <c r="F171" s="40"/>
      <c r="G171" s="32"/>
      <c r="H171" s="29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</row>
    <row r="172" spans="1:36" ht="12.75" customHeight="1" x14ac:dyDescent="0.3">
      <c r="A172" s="1"/>
      <c r="B172" s="1"/>
      <c r="C172" s="29"/>
      <c r="D172" s="30"/>
      <c r="E172" s="40"/>
      <c r="F172" s="40"/>
      <c r="G172" s="32"/>
      <c r="H172" s="29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</row>
    <row r="173" spans="1:36" ht="12.75" customHeight="1" x14ac:dyDescent="0.3">
      <c r="A173" s="1"/>
      <c r="B173" s="1"/>
      <c r="C173" s="29"/>
      <c r="D173" s="30"/>
      <c r="E173" s="40"/>
      <c r="F173" s="40"/>
      <c r="G173" s="32"/>
      <c r="H173" s="29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</row>
    <row r="174" spans="1:36" ht="12.75" customHeight="1" x14ac:dyDescent="0.3">
      <c r="A174" s="1"/>
      <c r="B174" s="1"/>
      <c r="C174" s="29"/>
      <c r="D174" s="30"/>
      <c r="E174" s="40"/>
      <c r="F174" s="40"/>
      <c r="G174" s="32"/>
      <c r="H174" s="29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</row>
    <row r="175" spans="1:36" ht="12.75" customHeight="1" x14ac:dyDescent="0.3">
      <c r="A175" s="1"/>
      <c r="B175" s="1"/>
      <c r="C175" s="29"/>
      <c r="D175" s="30"/>
      <c r="E175" s="40"/>
      <c r="F175" s="40"/>
      <c r="G175" s="32"/>
      <c r="H175" s="29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</row>
    <row r="176" spans="1:36" ht="12.75" customHeight="1" x14ac:dyDescent="0.3">
      <c r="A176" s="1"/>
      <c r="B176" s="1"/>
      <c r="C176" s="29"/>
      <c r="D176" s="30"/>
      <c r="E176" s="40"/>
      <c r="F176" s="40"/>
      <c r="G176" s="32"/>
      <c r="H176" s="29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</row>
    <row r="177" spans="1:36" ht="12.75" customHeight="1" x14ac:dyDescent="0.3">
      <c r="A177" s="1"/>
      <c r="B177" s="1"/>
      <c r="C177" s="29"/>
      <c r="D177" s="30"/>
      <c r="E177" s="40"/>
      <c r="F177" s="40"/>
      <c r="G177" s="32"/>
      <c r="H177" s="29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</row>
    <row r="178" spans="1:36" ht="12.75" customHeight="1" x14ac:dyDescent="0.3">
      <c r="A178" s="1"/>
      <c r="B178" s="1"/>
      <c r="C178" s="29"/>
      <c r="D178" s="30"/>
      <c r="E178" s="40"/>
      <c r="F178" s="40"/>
      <c r="G178" s="32"/>
      <c r="H178" s="29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</row>
    <row r="179" spans="1:36" ht="12.75" customHeight="1" x14ac:dyDescent="0.3">
      <c r="A179" s="1"/>
      <c r="B179" s="1"/>
      <c r="C179" s="29"/>
      <c r="D179" s="30"/>
      <c r="E179" s="40"/>
      <c r="F179" s="40"/>
      <c r="G179" s="32"/>
      <c r="H179" s="29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</row>
    <row r="180" spans="1:36" ht="12.75" customHeight="1" x14ac:dyDescent="0.3">
      <c r="A180" s="1"/>
      <c r="B180" s="1"/>
      <c r="C180" s="29"/>
      <c r="D180" s="30"/>
      <c r="E180" s="40"/>
      <c r="F180" s="40"/>
      <c r="G180" s="32"/>
      <c r="H180" s="29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/>
      <c r="AI180" s="33"/>
      <c r="AJ180" s="33"/>
    </row>
    <row r="181" spans="1:36" ht="12.75" customHeight="1" x14ac:dyDescent="0.3">
      <c r="A181" s="1"/>
      <c r="B181" s="1"/>
      <c r="C181" s="29"/>
      <c r="D181" s="30"/>
      <c r="E181" s="40"/>
      <c r="F181" s="40"/>
      <c r="G181" s="32"/>
      <c r="H181" s="29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</row>
    <row r="182" spans="1:36" ht="12.75" customHeight="1" x14ac:dyDescent="0.3">
      <c r="A182" s="1"/>
      <c r="B182" s="1"/>
      <c r="C182" s="29"/>
      <c r="D182" s="30"/>
      <c r="E182" s="40"/>
      <c r="F182" s="40"/>
      <c r="G182" s="32"/>
      <c r="H182" s="29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</row>
    <row r="183" spans="1:36" ht="12.75" customHeight="1" x14ac:dyDescent="0.3">
      <c r="A183" s="1"/>
      <c r="B183" s="1"/>
      <c r="C183" s="29"/>
      <c r="D183" s="30"/>
      <c r="E183" s="40"/>
      <c r="F183" s="40"/>
      <c r="G183" s="32"/>
      <c r="H183" s="29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</row>
    <row r="184" spans="1:36" ht="12.75" customHeight="1" x14ac:dyDescent="0.3">
      <c r="A184" s="1"/>
      <c r="B184" s="1"/>
      <c r="C184" s="29"/>
      <c r="D184" s="30"/>
      <c r="E184" s="40"/>
      <c r="F184" s="40"/>
      <c r="G184" s="32"/>
      <c r="H184" s="29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</row>
    <row r="185" spans="1:36" ht="12.75" customHeight="1" x14ac:dyDescent="0.3">
      <c r="A185" s="1"/>
      <c r="B185" s="1"/>
      <c r="C185" s="29"/>
      <c r="D185" s="30"/>
      <c r="E185" s="40"/>
      <c r="F185" s="40"/>
      <c r="G185" s="32"/>
      <c r="H185" s="29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</row>
    <row r="186" spans="1:36" ht="12.75" customHeight="1" x14ac:dyDescent="0.3">
      <c r="A186" s="1"/>
      <c r="B186" s="1"/>
      <c r="C186" s="29"/>
      <c r="D186" s="30"/>
      <c r="E186" s="40"/>
      <c r="F186" s="40"/>
      <c r="G186" s="32"/>
      <c r="H186" s="29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</row>
    <row r="187" spans="1:36" ht="12.75" customHeight="1" x14ac:dyDescent="0.3">
      <c r="A187" s="1"/>
      <c r="B187" s="1"/>
      <c r="C187" s="29"/>
      <c r="D187" s="30"/>
      <c r="E187" s="40"/>
      <c r="F187" s="40"/>
      <c r="G187" s="32"/>
      <c r="H187" s="29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</row>
    <row r="188" spans="1:36" ht="12.75" customHeight="1" x14ac:dyDescent="0.3">
      <c r="A188" s="1"/>
      <c r="B188" s="1"/>
      <c r="C188" s="29"/>
      <c r="D188" s="30"/>
      <c r="E188" s="40"/>
      <c r="F188" s="40"/>
      <c r="G188" s="32"/>
      <c r="H188" s="29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</row>
    <row r="189" spans="1:36" ht="12.75" customHeight="1" x14ac:dyDescent="0.3">
      <c r="A189" s="1"/>
      <c r="B189" s="1"/>
      <c r="C189" s="29"/>
      <c r="D189" s="30"/>
      <c r="E189" s="40"/>
      <c r="F189" s="40"/>
      <c r="G189" s="32"/>
      <c r="H189" s="29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</row>
    <row r="190" spans="1:36" ht="12.75" customHeight="1" x14ac:dyDescent="0.3">
      <c r="A190" s="1"/>
      <c r="B190" s="1"/>
      <c r="C190" s="29"/>
      <c r="D190" s="30"/>
      <c r="E190" s="40"/>
      <c r="F190" s="40"/>
      <c r="G190" s="32"/>
      <c r="H190" s="29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3"/>
      <c r="U190" s="33"/>
      <c r="V190" s="33"/>
      <c r="W190" s="33"/>
      <c r="X190" s="33"/>
      <c r="Y190" s="33"/>
      <c r="Z190" s="33"/>
      <c r="AA190" s="33"/>
      <c r="AB190" s="33"/>
      <c r="AC190" s="33"/>
      <c r="AD190" s="33"/>
      <c r="AE190" s="33"/>
      <c r="AF190" s="33"/>
      <c r="AG190" s="33"/>
      <c r="AH190" s="33"/>
      <c r="AI190" s="33"/>
      <c r="AJ190" s="33"/>
    </row>
    <row r="191" spans="1:36" ht="12.75" customHeight="1" x14ac:dyDescent="0.3">
      <c r="A191" s="1"/>
      <c r="B191" s="1"/>
      <c r="C191" s="29"/>
      <c r="D191" s="30"/>
      <c r="E191" s="40"/>
      <c r="F191" s="40"/>
      <c r="G191" s="32"/>
      <c r="H191" s="29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3"/>
      <c r="U191" s="33"/>
      <c r="V191" s="33"/>
      <c r="W191" s="33"/>
      <c r="X191" s="33"/>
      <c r="Y191" s="33"/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</row>
    <row r="192" spans="1:36" ht="12.75" customHeight="1" x14ac:dyDescent="0.3">
      <c r="A192" s="1"/>
      <c r="B192" s="1"/>
      <c r="C192" s="29"/>
      <c r="D192" s="30"/>
      <c r="E192" s="40"/>
      <c r="F192" s="40"/>
      <c r="G192" s="32"/>
      <c r="H192" s="29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</row>
    <row r="193" spans="1:36" ht="12.75" customHeight="1" x14ac:dyDescent="0.3">
      <c r="A193" s="1"/>
      <c r="B193" s="1"/>
      <c r="C193" s="29"/>
      <c r="D193" s="30"/>
      <c r="E193" s="40"/>
      <c r="F193" s="40"/>
      <c r="G193" s="32"/>
      <c r="H193" s="29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</row>
    <row r="194" spans="1:36" ht="12.75" customHeight="1" x14ac:dyDescent="0.3">
      <c r="A194" s="1"/>
      <c r="B194" s="1"/>
      <c r="C194" s="29"/>
      <c r="D194" s="30"/>
      <c r="E194" s="40"/>
      <c r="F194" s="40"/>
      <c r="G194" s="32"/>
      <c r="H194" s="29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</row>
    <row r="195" spans="1:36" ht="12.75" customHeight="1" x14ac:dyDescent="0.3">
      <c r="A195" s="1"/>
      <c r="B195" s="1"/>
      <c r="C195" s="29"/>
      <c r="D195" s="30"/>
      <c r="E195" s="40"/>
      <c r="F195" s="40"/>
      <c r="G195" s="32"/>
      <c r="H195" s="29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</row>
    <row r="196" spans="1:36" ht="12.75" customHeight="1" x14ac:dyDescent="0.3">
      <c r="A196" s="1"/>
      <c r="B196" s="1"/>
      <c r="C196" s="29"/>
      <c r="D196" s="30"/>
      <c r="E196" s="40"/>
      <c r="F196" s="40"/>
      <c r="G196" s="32"/>
      <c r="H196" s="29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</row>
    <row r="197" spans="1:36" ht="12.75" customHeight="1" x14ac:dyDescent="0.3">
      <c r="A197" s="1"/>
      <c r="B197" s="1"/>
      <c r="C197" s="29"/>
      <c r="D197" s="30"/>
      <c r="E197" s="40"/>
      <c r="F197" s="40"/>
      <c r="G197" s="32"/>
      <c r="H197" s="29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</row>
    <row r="198" spans="1:36" ht="12.75" customHeight="1" x14ac:dyDescent="0.3">
      <c r="A198" s="1"/>
      <c r="B198" s="1"/>
      <c r="C198" s="29"/>
      <c r="D198" s="30"/>
      <c r="E198" s="40"/>
      <c r="F198" s="40"/>
      <c r="G198" s="32"/>
      <c r="H198" s="29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</row>
    <row r="199" spans="1:36" ht="12.75" customHeight="1" x14ac:dyDescent="0.3">
      <c r="A199" s="1"/>
      <c r="B199" s="1"/>
      <c r="C199" s="29"/>
      <c r="D199" s="30"/>
      <c r="E199" s="40"/>
      <c r="F199" s="40"/>
      <c r="G199" s="32"/>
      <c r="H199" s="29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3"/>
      <c r="U199" s="33"/>
      <c r="V199" s="33"/>
      <c r="W199" s="33"/>
      <c r="X199" s="33"/>
      <c r="Y199" s="33"/>
      <c r="Z199" s="33"/>
      <c r="AA199" s="33"/>
      <c r="AB199" s="33"/>
      <c r="AC199" s="33"/>
      <c r="AD199" s="33"/>
      <c r="AE199" s="33"/>
      <c r="AF199" s="33"/>
      <c r="AG199" s="33"/>
      <c r="AH199" s="33"/>
      <c r="AI199" s="33"/>
      <c r="AJ199" s="33"/>
    </row>
    <row r="200" spans="1:36" ht="12.75" customHeight="1" x14ac:dyDescent="0.3">
      <c r="A200" s="1"/>
      <c r="B200" s="1"/>
      <c r="C200" s="29"/>
      <c r="D200" s="30"/>
      <c r="E200" s="40"/>
      <c r="F200" s="40"/>
      <c r="G200" s="32"/>
      <c r="H200" s="29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</row>
    <row r="201" spans="1:36" ht="12.75" customHeight="1" x14ac:dyDescent="0.3">
      <c r="A201" s="1"/>
      <c r="B201" s="1"/>
      <c r="C201" s="29"/>
      <c r="D201" s="30"/>
      <c r="E201" s="40"/>
      <c r="F201" s="40"/>
      <c r="G201" s="32"/>
      <c r="H201" s="29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</row>
    <row r="202" spans="1:36" ht="12.75" customHeight="1" x14ac:dyDescent="0.3">
      <c r="A202" s="1"/>
      <c r="B202" s="1"/>
      <c r="C202" s="29"/>
      <c r="D202" s="30"/>
      <c r="E202" s="40"/>
      <c r="F202" s="40"/>
      <c r="G202" s="32"/>
      <c r="H202" s="29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</row>
    <row r="203" spans="1:36" ht="12.75" customHeight="1" x14ac:dyDescent="0.3">
      <c r="A203" s="1"/>
      <c r="B203" s="1"/>
      <c r="C203" s="29"/>
      <c r="D203" s="30"/>
      <c r="E203" s="40"/>
      <c r="F203" s="40"/>
      <c r="G203" s="32"/>
      <c r="H203" s="29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</row>
    <row r="204" spans="1:36" ht="12.75" customHeight="1" x14ac:dyDescent="0.3">
      <c r="A204" s="1"/>
      <c r="B204" s="1"/>
      <c r="C204" s="29"/>
      <c r="D204" s="30"/>
      <c r="E204" s="40"/>
      <c r="F204" s="40"/>
      <c r="G204" s="32"/>
      <c r="H204" s="29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</row>
    <row r="205" spans="1:36" ht="12.75" customHeight="1" x14ac:dyDescent="0.3">
      <c r="A205" s="1"/>
      <c r="B205" s="1"/>
      <c r="C205" s="29"/>
      <c r="D205" s="30"/>
      <c r="E205" s="40"/>
      <c r="F205" s="40"/>
      <c r="G205" s="32"/>
      <c r="H205" s="29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</row>
    <row r="206" spans="1:36" ht="12.75" customHeight="1" x14ac:dyDescent="0.3">
      <c r="A206" s="1"/>
      <c r="B206" s="1"/>
      <c r="C206" s="29"/>
      <c r="D206" s="30"/>
      <c r="E206" s="40"/>
      <c r="F206" s="40"/>
      <c r="G206" s="32"/>
      <c r="H206" s="29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</row>
    <row r="207" spans="1:36" ht="12.75" customHeight="1" x14ac:dyDescent="0.3">
      <c r="A207" s="1"/>
      <c r="B207" s="1"/>
      <c r="C207" s="29"/>
      <c r="D207" s="30"/>
      <c r="E207" s="40"/>
      <c r="F207" s="40"/>
      <c r="G207" s="32"/>
      <c r="H207" s="29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</row>
    <row r="208" spans="1:36" ht="12.75" customHeight="1" x14ac:dyDescent="0.3">
      <c r="A208" s="1"/>
      <c r="B208" s="1"/>
      <c r="C208" s="29"/>
      <c r="D208" s="30"/>
      <c r="E208" s="40"/>
      <c r="F208" s="40"/>
      <c r="G208" s="32"/>
      <c r="H208" s="29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</row>
    <row r="209" spans="1:36" ht="12.75" customHeight="1" x14ac:dyDescent="0.3">
      <c r="A209" s="1"/>
      <c r="B209" s="1"/>
      <c r="C209" s="29"/>
      <c r="D209" s="30"/>
      <c r="E209" s="40"/>
      <c r="F209" s="40"/>
      <c r="G209" s="32"/>
      <c r="H209" s="29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</row>
    <row r="210" spans="1:36" ht="12.75" customHeight="1" x14ac:dyDescent="0.3">
      <c r="A210" s="1"/>
      <c r="B210" s="1"/>
      <c r="C210" s="29"/>
      <c r="D210" s="30"/>
      <c r="E210" s="40"/>
      <c r="F210" s="40"/>
      <c r="G210" s="32"/>
      <c r="H210" s="29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</row>
    <row r="211" spans="1:36" ht="12.75" customHeight="1" x14ac:dyDescent="0.3">
      <c r="A211" s="1"/>
      <c r="B211" s="1"/>
      <c r="C211" s="29"/>
      <c r="D211" s="30"/>
      <c r="E211" s="40"/>
      <c r="F211" s="40"/>
      <c r="G211" s="32"/>
      <c r="H211" s="29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</row>
    <row r="212" spans="1:36" ht="12.75" customHeight="1" x14ac:dyDescent="0.3">
      <c r="A212" s="1"/>
      <c r="B212" s="1"/>
      <c r="C212" s="29"/>
      <c r="D212" s="30"/>
      <c r="E212" s="40"/>
      <c r="F212" s="40"/>
      <c r="G212" s="32"/>
      <c r="H212" s="29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3"/>
      <c r="U212" s="33"/>
      <c r="V212" s="33"/>
      <c r="W212" s="33"/>
      <c r="X212" s="33"/>
      <c r="Y212" s="33"/>
      <c r="Z212" s="33"/>
      <c r="AA212" s="33"/>
      <c r="AB212" s="33"/>
      <c r="AC212" s="33"/>
      <c r="AD212" s="33"/>
      <c r="AE212" s="33"/>
      <c r="AF212" s="33"/>
      <c r="AG212" s="33"/>
      <c r="AH212" s="33"/>
      <c r="AI212" s="33"/>
      <c r="AJ212" s="33"/>
    </row>
    <row r="213" spans="1:36" ht="12.75" customHeight="1" x14ac:dyDescent="0.3">
      <c r="A213" s="1"/>
      <c r="B213" s="1"/>
      <c r="C213" s="29"/>
      <c r="D213" s="30"/>
      <c r="E213" s="40"/>
      <c r="F213" s="40"/>
      <c r="G213" s="32"/>
      <c r="H213" s="29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3"/>
      <c r="U213" s="33"/>
      <c r="V213" s="33"/>
      <c r="W213" s="33"/>
      <c r="X213" s="33"/>
      <c r="Y213" s="33"/>
      <c r="Z213" s="33"/>
      <c r="AA213" s="33"/>
      <c r="AB213" s="33"/>
      <c r="AC213" s="33"/>
      <c r="AD213" s="33"/>
      <c r="AE213" s="33"/>
      <c r="AF213" s="33"/>
      <c r="AG213" s="33"/>
      <c r="AH213" s="33"/>
      <c r="AI213" s="33"/>
      <c r="AJ213" s="33"/>
    </row>
    <row r="214" spans="1:36" ht="12.75" customHeight="1" x14ac:dyDescent="0.3">
      <c r="A214" s="1"/>
      <c r="B214" s="1"/>
      <c r="C214" s="29"/>
      <c r="D214" s="30"/>
      <c r="E214" s="40"/>
      <c r="F214" s="40"/>
      <c r="G214" s="32"/>
      <c r="H214" s="29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3"/>
      <c r="U214" s="33"/>
      <c r="V214" s="33"/>
      <c r="W214" s="33"/>
      <c r="X214" s="33"/>
      <c r="Y214" s="33"/>
      <c r="Z214" s="33"/>
      <c r="AA214" s="33"/>
      <c r="AB214" s="33"/>
      <c r="AC214" s="33"/>
      <c r="AD214" s="33"/>
      <c r="AE214" s="33"/>
      <c r="AF214" s="33"/>
      <c r="AG214" s="33"/>
      <c r="AH214" s="33"/>
      <c r="AI214" s="33"/>
      <c r="AJ214" s="33"/>
    </row>
    <row r="215" spans="1:36" ht="12.75" customHeight="1" x14ac:dyDescent="0.3">
      <c r="A215" s="1"/>
      <c r="B215" s="1"/>
      <c r="C215" s="29"/>
      <c r="D215" s="30"/>
      <c r="E215" s="40"/>
      <c r="F215" s="40"/>
      <c r="G215" s="32"/>
      <c r="H215" s="29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3"/>
      <c r="U215" s="33"/>
      <c r="V215" s="33"/>
      <c r="W215" s="33"/>
      <c r="X215" s="33"/>
      <c r="Y215" s="33"/>
      <c r="Z215" s="33"/>
      <c r="AA215" s="33"/>
      <c r="AB215" s="33"/>
      <c r="AC215" s="33"/>
      <c r="AD215" s="33"/>
      <c r="AE215" s="33"/>
      <c r="AF215" s="33"/>
      <c r="AG215" s="33"/>
      <c r="AH215" s="33"/>
      <c r="AI215" s="33"/>
      <c r="AJ215" s="33"/>
    </row>
    <row r="216" spans="1:36" ht="12.75" customHeight="1" x14ac:dyDescent="0.3">
      <c r="A216" s="1"/>
      <c r="B216" s="1"/>
      <c r="C216" s="29"/>
      <c r="D216" s="30"/>
      <c r="E216" s="40"/>
      <c r="F216" s="40"/>
      <c r="G216" s="32"/>
      <c r="H216" s="29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3"/>
      <c r="U216" s="33"/>
      <c r="V216" s="33"/>
      <c r="W216" s="33"/>
      <c r="X216" s="33"/>
      <c r="Y216" s="33"/>
      <c r="Z216" s="33"/>
      <c r="AA216" s="33"/>
      <c r="AB216" s="33"/>
      <c r="AC216" s="33"/>
      <c r="AD216" s="33"/>
      <c r="AE216" s="33"/>
      <c r="AF216" s="33"/>
      <c r="AG216" s="33"/>
      <c r="AH216" s="33"/>
      <c r="AI216" s="33"/>
      <c r="AJ216" s="33"/>
    </row>
    <row r="217" spans="1:36" ht="12.75" customHeight="1" x14ac:dyDescent="0.3">
      <c r="A217" s="1"/>
      <c r="B217" s="1"/>
      <c r="C217" s="29"/>
      <c r="D217" s="30"/>
      <c r="E217" s="40"/>
      <c r="F217" s="40"/>
      <c r="G217" s="32"/>
      <c r="H217" s="29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3"/>
      <c r="U217" s="33"/>
      <c r="V217" s="33"/>
      <c r="W217" s="33"/>
      <c r="X217" s="33"/>
      <c r="Y217" s="33"/>
      <c r="Z217" s="33"/>
      <c r="AA217" s="33"/>
      <c r="AB217" s="33"/>
      <c r="AC217" s="33"/>
      <c r="AD217" s="33"/>
      <c r="AE217" s="33"/>
      <c r="AF217" s="33"/>
      <c r="AG217" s="33"/>
      <c r="AH217" s="33"/>
      <c r="AI217" s="33"/>
      <c r="AJ217" s="33"/>
    </row>
    <row r="218" spans="1:36" ht="12.75" customHeight="1" x14ac:dyDescent="0.3">
      <c r="A218" s="1"/>
      <c r="B218" s="1"/>
      <c r="C218" s="29"/>
      <c r="D218" s="30"/>
      <c r="E218" s="40"/>
      <c r="F218" s="40"/>
      <c r="G218" s="32"/>
      <c r="H218" s="29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3"/>
      <c r="U218" s="33"/>
      <c r="V218" s="33"/>
      <c r="W218" s="33"/>
      <c r="X218" s="33"/>
      <c r="Y218" s="33"/>
      <c r="Z218" s="33"/>
      <c r="AA218" s="33"/>
      <c r="AB218" s="33"/>
      <c r="AC218" s="33"/>
      <c r="AD218" s="33"/>
      <c r="AE218" s="33"/>
      <c r="AF218" s="33"/>
      <c r="AG218" s="33"/>
      <c r="AH218" s="33"/>
      <c r="AI218" s="33"/>
      <c r="AJ218" s="33"/>
    </row>
    <row r="219" spans="1:36" ht="12.75" customHeight="1" x14ac:dyDescent="0.3">
      <c r="A219" s="1"/>
      <c r="B219" s="1"/>
      <c r="C219" s="29"/>
      <c r="D219" s="30"/>
      <c r="E219" s="40"/>
      <c r="F219" s="40"/>
      <c r="G219" s="32"/>
      <c r="H219" s="29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3"/>
      <c r="U219" s="33"/>
      <c r="V219" s="33"/>
      <c r="W219" s="33"/>
      <c r="X219" s="33"/>
      <c r="Y219" s="33"/>
      <c r="Z219" s="33"/>
      <c r="AA219" s="33"/>
      <c r="AB219" s="33"/>
      <c r="AC219" s="33"/>
      <c r="AD219" s="33"/>
      <c r="AE219" s="33"/>
      <c r="AF219" s="33"/>
      <c r="AG219" s="33"/>
      <c r="AH219" s="33"/>
      <c r="AI219" s="33"/>
      <c r="AJ219" s="33"/>
    </row>
    <row r="220" spans="1:36" ht="12.75" customHeight="1" x14ac:dyDescent="0.3">
      <c r="A220" s="1"/>
      <c r="B220" s="1"/>
      <c r="C220" s="29"/>
      <c r="D220" s="30"/>
      <c r="E220" s="40"/>
      <c r="F220" s="40"/>
      <c r="G220" s="32"/>
      <c r="H220" s="29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3"/>
      <c r="U220" s="33"/>
      <c r="V220" s="33"/>
      <c r="W220" s="33"/>
      <c r="X220" s="33"/>
      <c r="Y220" s="33"/>
      <c r="Z220" s="33"/>
      <c r="AA220" s="33"/>
      <c r="AB220" s="33"/>
      <c r="AC220" s="33"/>
      <c r="AD220" s="33"/>
      <c r="AE220" s="33"/>
      <c r="AF220" s="33"/>
      <c r="AG220" s="33"/>
      <c r="AH220" s="33"/>
      <c r="AI220" s="33"/>
      <c r="AJ220" s="33"/>
    </row>
    <row r="221" spans="1:36" ht="12.75" customHeight="1" x14ac:dyDescent="0.3">
      <c r="A221" s="1"/>
      <c r="B221" s="1"/>
      <c r="C221" s="29"/>
      <c r="D221" s="30"/>
      <c r="E221" s="40"/>
      <c r="F221" s="40"/>
      <c r="G221" s="32"/>
      <c r="H221" s="29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3"/>
      <c r="U221" s="33"/>
      <c r="V221" s="33"/>
      <c r="W221" s="33"/>
      <c r="X221" s="33"/>
      <c r="Y221" s="33"/>
      <c r="Z221" s="33"/>
      <c r="AA221" s="33"/>
      <c r="AB221" s="33"/>
      <c r="AC221" s="33"/>
      <c r="AD221" s="33"/>
      <c r="AE221" s="33"/>
      <c r="AF221" s="33"/>
      <c r="AG221" s="33"/>
      <c r="AH221" s="33"/>
      <c r="AI221" s="33"/>
      <c r="AJ221" s="33"/>
    </row>
    <row r="222" spans="1:36" ht="12.75" customHeight="1" x14ac:dyDescent="0.3">
      <c r="A222" s="1"/>
      <c r="B222" s="1"/>
      <c r="C222" s="29"/>
      <c r="D222" s="30"/>
      <c r="E222" s="40"/>
      <c r="F222" s="40"/>
      <c r="G222" s="32"/>
      <c r="H222" s="29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3"/>
      <c r="U222" s="33"/>
      <c r="V222" s="33"/>
      <c r="W222" s="33"/>
      <c r="X222" s="33"/>
      <c r="Y222" s="33"/>
      <c r="Z222" s="33"/>
      <c r="AA222" s="33"/>
      <c r="AB222" s="33"/>
      <c r="AC222" s="33"/>
      <c r="AD222" s="33"/>
      <c r="AE222" s="33"/>
      <c r="AF222" s="33"/>
      <c r="AG222" s="33"/>
      <c r="AH222" s="33"/>
      <c r="AI222" s="33"/>
      <c r="AJ222" s="33"/>
    </row>
    <row r="223" spans="1:36" ht="12.75" customHeight="1" x14ac:dyDescent="0.3">
      <c r="A223" s="1"/>
      <c r="B223" s="1"/>
      <c r="C223" s="29"/>
      <c r="D223" s="30"/>
      <c r="E223" s="40"/>
      <c r="F223" s="40"/>
      <c r="G223" s="32"/>
      <c r="H223" s="29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3"/>
      <c r="U223" s="33"/>
      <c r="V223" s="33"/>
      <c r="W223" s="33"/>
      <c r="X223" s="33"/>
      <c r="Y223" s="33"/>
      <c r="Z223" s="33"/>
      <c r="AA223" s="33"/>
      <c r="AB223" s="33"/>
      <c r="AC223" s="33"/>
      <c r="AD223" s="33"/>
      <c r="AE223" s="33"/>
      <c r="AF223" s="33"/>
      <c r="AG223" s="33"/>
      <c r="AH223" s="33"/>
      <c r="AI223" s="33"/>
      <c r="AJ223" s="33"/>
    </row>
    <row r="224" spans="1:36" ht="12.75" customHeight="1" x14ac:dyDescent="0.3">
      <c r="A224" s="1"/>
      <c r="B224" s="1"/>
      <c r="C224" s="29"/>
      <c r="D224" s="30"/>
      <c r="E224" s="40"/>
      <c r="F224" s="40"/>
      <c r="G224" s="32"/>
      <c r="H224" s="29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3"/>
      <c r="U224" s="33"/>
      <c r="V224" s="33"/>
      <c r="W224" s="33"/>
      <c r="X224" s="33"/>
      <c r="Y224" s="33"/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</row>
    <row r="225" spans="1:36" ht="12.75" customHeight="1" x14ac:dyDescent="0.3">
      <c r="A225" s="1"/>
      <c r="B225" s="1"/>
      <c r="C225" s="29"/>
      <c r="D225" s="30"/>
      <c r="E225" s="40"/>
      <c r="F225" s="40"/>
      <c r="G225" s="32"/>
      <c r="H225" s="29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3"/>
      <c r="U225" s="33"/>
      <c r="V225" s="33"/>
      <c r="W225" s="33"/>
      <c r="X225" s="33"/>
      <c r="Y225" s="33"/>
      <c r="Z225" s="33"/>
      <c r="AA225" s="33"/>
      <c r="AB225" s="33"/>
      <c r="AC225" s="33"/>
      <c r="AD225" s="33"/>
      <c r="AE225" s="33"/>
      <c r="AF225" s="33"/>
      <c r="AG225" s="33"/>
      <c r="AH225" s="33"/>
      <c r="AI225" s="33"/>
      <c r="AJ225" s="33"/>
    </row>
    <row r="226" spans="1:36" ht="12.75" customHeight="1" x14ac:dyDescent="0.3">
      <c r="A226" s="1"/>
      <c r="B226" s="1"/>
      <c r="C226" s="29"/>
      <c r="D226" s="30"/>
      <c r="E226" s="40"/>
      <c r="F226" s="40"/>
      <c r="G226" s="32"/>
      <c r="H226" s="29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3"/>
      <c r="U226" s="33"/>
      <c r="V226" s="33"/>
      <c r="W226" s="33"/>
      <c r="X226" s="33"/>
      <c r="Y226" s="33"/>
      <c r="Z226" s="33"/>
      <c r="AA226" s="33"/>
      <c r="AB226" s="33"/>
      <c r="AC226" s="33"/>
      <c r="AD226" s="33"/>
      <c r="AE226" s="33"/>
      <c r="AF226" s="33"/>
      <c r="AG226" s="33"/>
      <c r="AH226" s="33"/>
      <c r="AI226" s="33"/>
      <c r="AJ226" s="33"/>
    </row>
    <row r="227" spans="1:36" ht="12.75" customHeight="1" x14ac:dyDescent="0.3">
      <c r="A227" s="1"/>
      <c r="B227" s="1"/>
      <c r="C227" s="29"/>
      <c r="D227" s="30"/>
      <c r="E227" s="40"/>
      <c r="F227" s="40"/>
      <c r="G227" s="32"/>
      <c r="H227" s="29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</row>
    <row r="228" spans="1:36" ht="12.75" customHeight="1" x14ac:dyDescent="0.3">
      <c r="A228" s="1"/>
      <c r="B228" s="1"/>
      <c r="C228" s="29"/>
      <c r="D228" s="30"/>
      <c r="E228" s="40"/>
      <c r="F228" s="40"/>
      <c r="G228" s="32"/>
      <c r="H228" s="29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</row>
    <row r="229" spans="1:36" ht="12.75" customHeight="1" x14ac:dyDescent="0.3">
      <c r="A229" s="1"/>
      <c r="B229" s="1"/>
      <c r="C229" s="29"/>
      <c r="D229" s="30"/>
      <c r="E229" s="40"/>
      <c r="F229" s="40"/>
      <c r="G229" s="32"/>
      <c r="H229" s="29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</row>
    <row r="230" spans="1:36" ht="12.75" customHeight="1" x14ac:dyDescent="0.3">
      <c r="A230" s="1"/>
      <c r="B230" s="1"/>
      <c r="C230" s="29"/>
      <c r="D230" s="30"/>
      <c r="E230" s="40"/>
      <c r="F230" s="40"/>
      <c r="G230" s="32"/>
      <c r="H230" s="29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</row>
    <row r="231" spans="1:36" ht="15.75" customHeight="1" x14ac:dyDescent="0.3"/>
    <row r="232" spans="1:36" ht="15.75" customHeight="1" x14ac:dyDescent="0.3"/>
    <row r="233" spans="1:36" ht="15.75" customHeight="1" x14ac:dyDescent="0.3"/>
    <row r="234" spans="1:36" ht="15.75" customHeight="1" x14ac:dyDescent="0.3"/>
    <row r="235" spans="1:36" ht="15.75" customHeight="1" x14ac:dyDescent="0.3"/>
    <row r="236" spans="1:36" ht="15.75" customHeight="1" x14ac:dyDescent="0.3"/>
    <row r="237" spans="1:36" ht="15.75" customHeight="1" x14ac:dyDescent="0.3"/>
    <row r="238" spans="1:36" ht="15.75" customHeight="1" x14ac:dyDescent="0.3"/>
    <row r="239" spans="1:36" ht="15.75" customHeight="1" x14ac:dyDescent="0.3"/>
    <row r="240" spans="1:36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mergeCells count="29">
    <mergeCell ref="D11:D30"/>
    <mergeCell ref="C11:C30"/>
    <mergeCell ref="Q9:Q10"/>
    <mergeCell ref="B6:D6"/>
    <mergeCell ref="S9:S10"/>
    <mergeCell ref="C7:C10"/>
    <mergeCell ref="A7:A10"/>
    <mergeCell ref="B7:B10"/>
    <mergeCell ref="D7:D10"/>
    <mergeCell ref="E7:F9"/>
    <mergeCell ref="G7:G10"/>
    <mergeCell ref="H7:H10"/>
    <mergeCell ref="I7:Q7"/>
    <mergeCell ref="B14:B30"/>
    <mergeCell ref="A11:A30"/>
    <mergeCell ref="T7:AB7"/>
    <mergeCell ref="I8:Q8"/>
    <mergeCell ref="T8:AB8"/>
    <mergeCell ref="T9:W9"/>
    <mergeCell ref="X9:X10"/>
    <mergeCell ref="Y9:Y10"/>
    <mergeCell ref="Z9:Z10"/>
    <mergeCell ref="AA9:AA10"/>
    <mergeCell ref="AB9:AB10"/>
    <mergeCell ref="I9:L9"/>
    <mergeCell ref="M9:M10"/>
    <mergeCell ref="N9:N10"/>
    <mergeCell ref="O9:O10"/>
    <mergeCell ref="P9:P10"/>
  </mergeCells>
  <conditionalFormatting sqref="AA6 AA9:AA30 P1:P999">
    <cfRule type="cellIs" dxfId="6" priority="1" operator="equal">
      <formula>"No Aceptable"</formula>
    </cfRule>
  </conditionalFormatting>
  <conditionalFormatting sqref="AA6 AA9:AA30 P1:P999">
    <cfRule type="cellIs" dxfId="5" priority="2" operator="equal">
      <formula>"Importante"</formula>
    </cfRule>
  </conditionalFormatting>
  <conditionalFormatting sqref="AA6 AA9:AA30 P1:P999">
    <cfRule type="cellIs" dxfId="4" priority="3" operator="equal">
      <formula>"Moderado"</formula>
    </cfRule>
  </conditionalFormatting>
  <conditionalFormatting sqref="AA6 AA9:AA30 P1:P999">
    <cfRule type="cellIs" dxfId="3" priority="4" operator="equal">
      <formula>"Tolerable"</formula>
    </cfRule>
  </conditionalFormatting>
  <conditionalFormatting sqref="AA6 AA9:AA30 P1:P999">
    <cfRule type="cellIs" dxfId="2" priority="5" operator="equal">
      <formula>"Trivial"</formula>
    </cfRule>
  </conditionalFormatting>
  <conditionalFormatting sqref="G11:G20 G22:G30">
    <cfRule type="expression" dxfId="1" priority="6">
      <formula>P11="No Aceptable"</formula>
    </cfRule>
  </conditionalFormatting>
  <conditionalFormatting sqref="G21">
    <cfRule type="expression" dxfId="0" priority="7">
      <formula>P21="No Aceptable"</formula>
    </cfRule>
  </conditionalFormatting>
  <pageMargins left="0.19685039370078741" right="0.19685039370078741" top="0.15748031496062992" bottom="0.15748031496062992" header="0" footer="0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W1000"/>
  <sheetViews>
    <sheetView workbookViewId="0">
      <selection activeCell="K22" sqref="K22:L24"/>
    </sheetView>
  </sheetViews>
  <sheetFormatPr baseColWidth="10" defaultColWidth="14.44140625" defaultRowHeight="15" customHeight="1" x14ac:dyDescent="0.3"/>
  <cols>
    <col min="1" max="1" width="5.88671875" customWidth="1"/>
    <col min="2" max="5" width="18.6640625" customWidth="1"/>
    <col min="6" max="8" width="10.6640625" customWidth="1"/>
    <col min="9" max="9" width="10.33203125" customWidth="1"/>
    <col min="10" max="10" width="10.6640625" customWidth="1"/>
    <col min="11" max="11" width="14.5546875" customWidth="1"/>
    <col min="12" max="12" width="18" customWidth="1"/>
    <col min="13" max="26" width="10.6640625" customWidth="1"/>
  </cols>
  <sheetData>
    <row r="2" spans="1:23" ht="15.6" x14ac:dyDescent="0.3">
      <c r="A2" s="108" t="s">
        <v>201</v>
      </c>
      <c r="B2" s="78"/>
      <c r="C2" s="78"/>
      <c r="D2" s="78"/>
      <c r="E2" s="78"/>
      <c r="F2" s="78"/>
      <c r="G2" s="78"/>
      <c r="H2" s="78"/>
      <c r="I2" s="79"/>
      <c r="L2" s="109" t="s">
        <v>202</v>
      </c>
      <c r="M2" s="110"/>
      <c r="N2" s="110"/>
      <c r="O2" s="110"/>
      <c r="P2" s="110"/>
      <c r="Q2" s="110"/>
      <c r="R2" s="110"/>
      <c r="S2" s="110"/>
      <c r="T2" s="111"/>
    </row>
    <row r="3" spans="1:23" ht="14.4" x14ac:dyDescent="0.3">
      <c r="A3" s="115" t="s">
        <v>203</v>
      </c>
      <c r="B3" s="117" t="s">
        <v>204</v>
      </c>
      <c r="C3" s="118"/>
      <c r="D3" s="118"/>
      <c r="E3" s="119"/>
      <c r="F3" s="117" t="s">
        <v>202</v>
      </c>
      <c r="G3" s="118"/>
      <c r="H3" s="118"/>
      <c r="I3" s="119"/>
      <c r="L3" s="112"/>
      <c r="M3" s="113"/>
      <c r="N3" s="113"/>
      <c r="O3" s="113"/>
      <c r="P3" s="113"/>
      <c r="Q3" s="113"/>
      <c r="R3" s="113"/>
      <c r="S3" s="113"/>
      <c r="T3" s="114"/>
    </row>
    <row r="4" spans="1:23" ht="24" x14ac:dyDescent="0.4">
      <c r="A4" s="116"/>
      <c r="B4" s="44" t="s">
        <v>205</v>
      </c>
      <c r="C4" s="45" t="s">
        <v>206</v>
      </c>
      <c r="D4" s="46" t="s">
        <v>207</v>
      </c>
      <c r="E4" s="45" t="s">
        <v>208</v>
      </c>
      <c r="F4" s="120" t="s">
        <v>209</v>
      </c>
      <c r="G4" s="78"/>
      <c r="H4" s="78"/>
      <c r="I4" s="79"/>
      <c r="L4" s="121" t="s">
        <v>210</v>
      </c>
      <c r="M4" s="78"/>
      <c r="N4" s="79"/>
      <c r="O4" s="121" t="s">
        <v>211</v>
      </c>
      <c r="P4" s="78"/>
      <c r="Q4" s="79"/>
      <c r="R4" s="121" t="s">
        <v>212</v>
      </c>
      <c r="S4" s="78"/>
      <c r="T4" s="79"/>
    </row>
    <row r="5" spans="1:23" ht="79.5" customHeight="1" x14ac:dyDescent="0.3">
      <c r="A5" s="47">
        <v>1</v>
      </c>
      <c r="B5" s="48" t="s">
        <v>213</v>
      </c>
      <c r="C5" s="49" t="s">
        <v>214</v>
      </c>
      <c r="D5" s="50" t="s">
        <v>215</v>
      </c>
      <c r="E5" s="51" t="s">
        <v>216</v>
      </c>
      <c r="F5" s="126" t="s">
        <v>217</v>
      </c>
      <c r="G5" s="78"/>
      <c r="H5" s="78"/>
      <c r="I5" s="79"/>
      <c r="K5" s="128" t="s">
        <v>218</v>
      </c>
      <c r="L5" s="52" t="s">
        <v>210</v>
      </c>
      <c r="M5" s="131" t="s">
        <v>219</v>
      </c>
      <c r="N5" s="79"/>
      <c r="O5" s="131" t="s">
        <v>220</v>
      </c>
      <c r="P5" s="78"/>
      <c r="Q5" s="79"/>
      <c r="R5" s="122" t="s">
        <v>221</v>
      </c>
      <c r="S5" s="78"/>
      <c r="T5" s="79"/>
      <c r="V5" s="124"/>
      <c r="W5" s="125"/>
    </row>
    <row r="6" spans="1:23" ht="79.5" customHeight="1" x14ac:dyDescent="0.3">
      <c r="A6" s="53">
        <v>2</v>
      </c>
      <c r="B6" s="54" t="s">
        <v>222</v>
      </c>
      <c r="C6" s="55" t="s">
        <v>223</v>
      </c>
      <c r="D6" s="55" t="s">
        <v>224</v>
      </c>
      <c r="E6" s="56" t="s">
        <v>225</v>
      </c>
      <c r="F6" s="126" t="s">
        <v>226</v>
      </c>
      <c r="G6" s="78"/>
      <c r="H6" s="78"/>
      <c r="I6" s="79"/>
      <c r="K6" s="129"/>
      <c r="L6" s="57" t="s">
        <v>211</v>
      </c>
      <c r="M6" s="131" t="s">
        <v>220</v>
      </c>
      <c r="N6" s="79"/>
      <c r="O6" s="122" t="s">
        <v>221</v>
      </c>
      <c r="P6" s="78"/>
      <c r="Q6" s="79"/>
      <c r="R6" s="123" t="s">
        <v>227</v>
      </c>
      <c r="S6" s="78"/>
      <c r="T6" s="79"/>
      <c r="V6" s="124"/>
      <c r="W6" s="125"/>
    </row>
    <row r="7" spans="1:23" ht="79.5" customHeight="1" x14ac:dyDescent="0.3">
      <c r="A7" s="53">
        <v>3</v>
      </c>
      <c r="B7" s="54" t="s">
        <v>228</v>
      </c>
      <c r="C7" s="55" t="s">
        <v>229</v>
      </c>
      <c r="D7" s="55" t="s">
        <v>230</v>
      </c>
      <c r="E7" s="56" t="s">
        <v>231</v>
      </c>
      <c r="F7" s="126" t="s">
        <v>232</v>
      </c>
      <c r="G7" s="78"/>
      <c r="H7" s="78"/>
      <c r="I7" s="79"/>
      <c r="K7" s="130"/>
      <c r="L7" s="57" t="s">
        <v>212</v>
      </c>
      <c r="M7" s="122" t="s">
        <v>221</v>
      </c>
      <c r="N7" s="79"/>
      <c r="O7" s="123" t="s">
        <v>227</v>
      </c>
      <c r="P7" s="78"/>
      <c r="Q7" s="79"/>
      <c r="R7" s="127" t="s">
        <v>233</v>
      </c>
      <c r="S7" s="78"/>
      <c r="T7" s="79"/>
      <c r="V7" s="124"/>
      <c r="W7" s="125"/>
    </row>
    <row r="10" spans="1:23" ht="14.4" x14ac:dyDescent="0.3">
      <c r="K10" s="134" t="s">
        <v>234</v>
      </c>
      <c r="L10" s="133"/>
      <c r="M10" s="88"/>
      <c r="N10" s="134" t="s">
        <v>235</v>
      </c>
      <c r="O10" s="133"/>
      <c r="P10" s="133"/>
      <c r="Q10" s="133"/>
      <c r="R10" s="133"/>
      <c r="S10" s="133"/>
      <c r="T10" s="88"/>
    </row>
    <row r="11" spans="1:23" ht="14.4" x14ac:dyDescent="0.3">
      <c r="K11" s="89"/>
      <c r="L11" s="125"/>
      <c r="M11" s="90"/>
      <c r="N11" s="89"/>
      <c r="O11" s="125"/>
      <c r="P11" s="125"/>
      <c r="Q11" s="125"/>
      <c r="R11" s="125"/>
      <c r="S11" s="125"/>
      <c r="T11" s="90"/>
    </row>
    <row r="12" spans="1:23" ht="14.4" x14ac:dyDescent="0.3">
      <c r="K12" s="91"/>
      <c r="L12" s="113"/>
      <c r="M12" s="92"/>
      <c r="N12" s="91"/>
      <c r="O12" s="113"/>
      <c r="P12" s="113"/>
      <c r="Q12" s="113"/>
      <c r="R12" s="113"/>
      <c r="S12" s="113"/>
      <c r="T12" s="92"/>
    </row>
    <row r="13" spans="1:23" ht="14.4" x14ac:dyDescent="0.3">
      <c r="K13" s="135" t="s">
        <v>236</v>
      </c>
      <c r="L13" s="88"/>
      <c r="M13" s="136"/>
      <c r="N13" s="132" t="s">
        <v>237</v>
      </c>
      <c r="O13" s="133"/>
      <c r="P13" s="133"/>
      <c r="Q13" s="133"/>
      <c r="R13" s="133"/>
      <c r="S13" s="133"/>
      <c r="T13" s="88"/>
    </row>
    <row r="14" spans="1:23" ht="14.4" x14ac:dyDescent="0.3">
      <c r="K14" s="89"/>
      <c r="L14" s="90"/>
      <c r="M14" s="85"/>
      <c r="N14" s="89"/>
      <c r="O14" s="125"/>
      <c r="P14" s="125"/>
      <c r="Q14" s="125"/>
      <c r="R14" s="125"/>
      <c r="S14" s="125"/>
      <c r="T14" s="90"/>
    </row>
    <row r="15" spans="1:23" ht="14.4" x14ac:dyDescent="0.3">
      <c r="K15" s="91"/>
      <c r="L15" s="92"/>
      <c r="M15" s="86"/>
      <c r="N15" s="91"/>
      <c r="O15" s="113"/>
      <c r="P15" s="113"/>
      <c r="Q15" s="113"/>
      <c r="R15" s="113"/>
      <c r="S15" s="113"/>
      <c r="T15" s="92"/>
    </row>
    <row r="16" spans="1:23" ht="14.4" x14ac:dyDescent="0.3">
      <c r="K16" s="135" t="s">
        <v>238</v>
      </c>
      <c r="L16" s="88"/>
      <c r="M16" s="137"/>
      <c r="N16" s="132" t="s">
        <v>239</v>
      </c>
      <c r="O16" s="133"/>
      <c r="P16" s="133"/>
      <c r="Q16" s="133"/>
      <c r="R16" s="133"/>
      <c r="S16" s="133"/>
      <c r="T16" s="88"/>
    </row>
    <row r="17" spans="11:20" ht="14.4" x14ac:dyDescent="0.3">
      <c r="K17" s="89"/>
      <c r="L17" s="90"/>
      <c r="M17" s="85"/>
      <c r="N17" s="89"/>
      <c r="O17" s="125"/>
      <c r="P17" s="125"/>
      <c r="Q17" s="125"/>
      <c r="R17" s="125"/>
      <c r="S17" s="125"/>
      <c r="T17" s="90"/>
    </row>
    <row r="18" spans="11:20" ht="14.4" x14ac:dyDescent="0.3">
      <c r="K18" s="91"/>
      <c r="L18" s="92"/>
      <c r="M18" s="86"/>
      <c r="N18" s="91"/>
      <c r="O18" s="113"/>
      <c r="P18" s="113"/>
      <c r="Q18" s="113"/>
      <c r="R18" s="113"/>
      <c r="S18" s="113"/>
      <c r="T18" s="92"/>
    </row>
    <row r="19" spans="11:20" ht="14.4" x14ac:dyDescent="0.3">
      <c r="K19" s="135" t="s">
        <v>240</v>
      </c>
      <c r="L19" s="88"/>
      <c r="M19" s="138"/>
      <c r="N19" s="132" t="s">
        <v>241</v>
      </c>
      <c r="O19" s="133"/>
      <c r="P19" s="133"/>
      <c r="Q19" s="133"/>
      <c r="R19" s="133"/>
      <c r="S19" s="133"/>
      <c r="T19" s="88"/>
    </row>
    <row r="20" spans="11:20" ht="14.4" x14ac:dyDescent="0.3">
      <c r="K20" s="89"/>
      <c r="L20" s="90"/>
      <c r="M20" s="85"/>
      <c r="N20" s="89"/>
      <c r="O20" s="125"/>
      <c r="P20" s="125"/>
      <c r="Q20" s="125"/>
      <c r="R20" s="125"/>
      <c r="S20" s="125"/>
      <c r="T20" s="90"/>
    </row>
    <row r="21" spans="11:20" ht="15.75" customHeight="1" x14ac:dyDescent="0.3">
      <c r="K21" s="91"/>
      <c r="L21" s="92"/>
      <c r="M21" s="86"/>
      <c r="N21" s="91"/>
      <c r="O21" s="113"/>
      <c r="P21" s="113"/>
      <c r="Q21" s="113"/>
      <c r="R21" s="113"/>
      <c r="S21" s="113"/>
      <c r="T21" s="92"/>
    </row>
    <row r="22" spans="11:20" ht="15.75" customHeight="1" x14ac:dyDescent="0.3">
      <c r="K22" s="135" t="s">
        <v>242</v>
      </c>
      <c r="L22" s="88"/>
      <c r="M22" s="139"/>
      <c r="N22" s="132" t="s">
        <v>243</v>
      </c>
      <c r="O22" s="133"/>
      <c r="P22" s="133"/>
      <c r="Q22" s="133"/>
      <c r="R22" s="133"/>
      <c r="S22" s="133"/>
      <c r="T22" s="88"/>
    </row>
    <row r="23" spans="11:20" ht="15.75" customHeight="1" x14ac:dyDescent="0.3">
      <c r="K23" s="89"/>
      <c r="L23" s="90"/>
      <c r="M23" s="85"/>
      <c r="N23" s="89"/>
      <c r="O23" s="125"/>
      <c r="P23" s="125"/>
      <c r="Q23" s="125"/>
      <c r="R23" s="125"/>
      <c r="S23" s="125"/>
      <c r="T23" s="90"/>
    </row>
    <row r="24" spans="11:20" ht="15.75" customHeight="1" x14ac:dyDescent="0.3">
      <c r="K24" s="91"/>
      <c r="L24" s="92"/>
      <c r="M24" s="86"/>
      <c r="N24" s="91"/>
      <c r="O24" s="113"/>
      <c r="P24" s="113"/>
      <c r="Q24" s="113"/>
      <c r="R24" s="113"/>
      <c r="S24" s="113"/>
      <c r="T24" s="92"/>
    </row>
    <row r="25" spans="11:20" ht="15.75" customHeight="1" x14ac:dyDescent="0.3"/>
    <row r="26" spans="11:20" ht="15.75" customHeight="1" x14ac:dyDescent="0.3"/>
    <row r="27" spans="11:20" ht="15.75" customHeight="1" x14ac:dyDescent="0.3"/>
    <row r="28" spans="11:20" ht="15.75" customHeight="1" x14ac:dyDescent="0.3"/>
    <row r="29" spans="11:20" ht="15.75" customHeight="1" x14ac:dyDescent="0.3"/>
    <row r="30" spans="11:20" ht="15.75" customHeight="1" x14ac:dyDescent="0.3"/>
    <row r="31" spans="11:20" ht="15.75" customHeight="1" x14ac:dyDescent="0.3"/>
    <row r="32" spans="11:2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39">
    <mergeCell ref="N19:T21"/>
    <mergeCell ref="N22:T24"/>
    <mergeCell ref="K10:M12"/>
    <mergeCell ref="N10:T12"/>
    <mergeCell ref="K13:L15"/>
    <mergeCell ref="M13:M15"/>
    <mergeCell ref="N13:T15"/>
    <mergeCell ref="M16:M18"/>
    <mergeCell ref="N16:T18"/>
    <mergeCell ref="K16:L18"/>
    <mergeCell ref="K19:L21"/>
    <mergeCell ref="M19:M21"/>
    <mergeCell ref="K22:L24"/>
    <mergeCell ref="M22:M24"/>
    <mergeCell ref="O6:Q6"/>
    <mergeCell ref="R6:T6"/>
    <mergeCell ref="V6:W6"/>
    <mergeCell ref="V7:W7"/>
    <mergeCell ref="F5:I5"/>
    <mergeCell ref="V5:W5"/>
    <mergeCell ref="F6:I6"/>
    <mergeCell ref="F7:I7"/>
    <mergeCell ref="M7:N7"/>
    <mergeCell ref="O7:Q7"/>
    <mergeCell ref="R7:T7"/>
    <mergeCell ref="K5:K7"/>
    <mergeCell ref="M5:N5"/>
    <mergeCell ref="O5:Q5"/>
    <mergeCell ref="R5:T5"/>
    <mergeCell ref="M6:N6"/>
    <mergeCell ref="A2:I2"/>
    <mergeCell ref="L2:T3"/>
    <mergeCell ref="A3:A4"/>
    <mergeCell ref="B3:E3"/>
    <mergeCell ref="F3:I3"/>
    <mergeCell ref="F4:I4"/>
    <mergeCell ref="L4:N4"/>
    <mergeCell ref="O4:Q4"/>
    <mergeCell ref="R4:T4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ADMINISTRATIVO</vt:lpstr>
      <vt:lpstr>MANTENIMIENTO</vt:lpstr>
      <vt:lpstr>CORTE</vt:lpstr>
      <vt:lpstr>CONFECCION</vt:lpstr>
      <vt:lpstr>METODO EVALUACION DE RIESGOS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Coayla</dc:creator>
  <cp:lastModifiedBy>User</cp:lastModifiedBy>
  <dcterms:created xsi:type="dcterms:W3CDTF">2015-01-18T21:52:13Z</dcterms:created>
  <dcterms:modified xsi:type="dcterms:W3CDTF">2024-08-07T02:37:18Z</dcterms:modified>
</cp:coreProperties>
</file>