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.1" sheetId="1" r:id="rId4"/>
  </sheets>
  <definedNames/>
  <calcPr/>
  <extLst>
    <ext uri="GoogleSheetsCustomDataVersion2">
      <go:sheetsCustomData xmlns:go="http://customooxmlschemas.google.com/" r:id="rId5" roundtripDataChecksum="Yiav+h4fWjmcSCesz+yR56nnsbJbDenFOLYkAtgo8rk="/>
    </ext>
  </extLst>
</workbook>
</file>

<file path=xl/sharedStrings.xml><?xml version="1.0" encoding="utf-8"?>
<sst xmlns="http://schemas.openxmlformats.org/spreadsheetml/2006/main" count="54" uniqueCount="47">
  <si>
    <t>Item</t>
  </si>
  <si>
    <t>Nombre del Proveedor</t>
  </si>
  <si>
    <t>Producto / Servicio</t>
  </si>
  <si>
    <t>Fecha de Evaluación</t>
  </si>
  <si>
    <t>CRITERIOS DE EVALUACION / REEVALUACION</t>
  </si>
  <si>
    <t>CALIFICACIÓN</t>
  </si>
  <si>
    <t>RESULTADO</t>
  </si>
  <si>
    <t>Tiempos de entrega</t>
  </si>
  <si>
    <t>Garantia</t>
  </si>
  <si>
    <t>Precios competitivos</t>
  </si>
  <si>
    <t>Facilidades de pago</t>
  </si>
  <si>
    <t>Asesoramiento</t>
  </si>
  <si>
    <t>Disponibilidad</t>
  </si>
  <si>
    <t>Documentación requerida</t>
  </si>
  <si>
    <t xml:space="preserve">EXCELENTE
(4.1 A 5)
BUENO 
(3,0 a 4)  
REGULAR
(0 a 2,9) </t>
  </si>
  <si>
    <t>REPUESTOS GUTI E.I.R.L.</t>
  </si>
  <si>
    <t xml:space="preserve">Repuestos, aujas, fajas de maquinas de costura </t>
  </si>
  <si>
    <t>THE ELEPHANT AQP E.I.R.L.</t>
  </si>
  <si>
    <t>Hilos, elasticos, cinta reflectiva, aujas, cordones, topes, tallas</t>
  </si>
  <si>
    <t>ZAPANA ZAPANA JOHN AGUSTIN</t>
  </si>
  <si>
    <t>Maquinas industriales de costura</t>
  </si>
  <si>
    <t>AUTRISA AUTOMOTRIZ ANDINA S.A.</t>
  </si>
  <si>
    <t>Gasolina de 95 octanos</t>
  </si>
  <si>
    <t>DISTRIBUIDORA NAGAVE E.I.R.L.</t>
  </si>
  <si>
    <t>Articulos de oficina y libreria</t>
  </si>
  <si>
    <t>HUACHACA CCOSCO JOSE</t>
  </si>
  <si>
    <t>Cintas, botones, encajes, elasticos, sesgo</t>
  </si>
  <si>
    <t>HUACANI HUAMANI MARILU ELIANA</t>
  </si>
  <si>
    <t>Tela plana, tela de agua, tela drill, tela oxfor,tela popelina</t>
  </si>
  <si>
    <t>COGNITIO CONSULTING S.A.C. - COGNITIO S.A.C.</t>
  </si>
  <si>
    <t>Servicio de consultoria en Sistemas de Gestion</t>
  </si>
  <si>
    <t>TEXTILES DENEGUI E.I.R.L</t>
  </si>
  <si>
    <t>Tela Drill tecnologia, drill San Jacinto</t>
  </si>
  <si>
    <t>CRITERIOS DE EVALUACIÓN</t>
  </si>
  <si>
    <t>EVALUACIÓN</t>
  </si>
  <si>
    <t>PUNTUACION</t>
  </si>
  <si>
    <t>No aceptable</t>
  </si>
  <si>
    <t>Bueno</t>
  </si>
  <si>
    <t>Excelente</t>
  </si>
  <si>
    <t>CRITERIOS DE ACEPTACION</t>
  </si>
  <si>
    <t>0 - 2.9</t>
  </si>
  <si>
    <t>Regular</t>
  </si>
  <si>
    <t>3.0 - 4.0</t>
  </si>
  <si>
    <t>4.1 - 5</t>
  </si>
  <si>
    <t>RESPONSABLE DE EVALUACIÓN</t>
  </si>
  <si>
    <t>Garantía</t>
  </si>
  <si>
    <t>Precios Competitivos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</si>
</sst>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8">
    <font>
      <sz val="11.0"/>
      <color theme="1"/>
      <name val="Calibri"/>
      <scheme val="minor"/>
    </font>
    <font>
      <sz val="11.0"/>
      <color theme="1"/>
      <name val="Arial"/>
    </font>
    <font>
      <b/>
      <sz val="12.0"/>
      <color theme="1"/>
      <name val="Arial"/>
    </font>
    <font>
      <sz val="14.0"/>
      <color theme="1"/>
      <name val="Arial"/>
    </font>
    <font/>
    <font>
      <sz val="12.0"/>
      <color theme="1"/>
      <name val="Arial"/>
    </font>
    <font>
      <u/>
      <sz val="12.0"/>
      <color theme="10"/>
      <name val="Arial"/>
    </font>
    <font>
      <sz val="12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26">
    <border/>
    <border>
      <left/>
      <right/>
      <top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1" fillId="2" fontId="1" numFmtId="0" xfId="0" applyBorder="1" applyFill="1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horizontal="center" shrinkToFit="0" wrapText="1"/>
    </xf>
    <xf borderId="9" fillId="0" fontId="4" numFmtId="0" xfId="0" applyBorder="1" applyFont="1"/>
    <xf borderId="10" fillId="0" fontId="4" numFmtId="0" xfId="0" applyBorder="1" applyFont="1"/>
    <xf borderId="11" fillId="3" fontId="2" numFmtId="0" xfId="0" applyAlignment="1" applyBorder="1" applyFont="1">
      <alignment horizontal="center" shrinkToFit="0" wrapText="1"/>
    </xf>
    <xf borderId="7" fillId="3" fontId="2" numFmtId="0" xfId="0" applyAlignment="1" applyBorder="1" applyFont="1">
      <alignment horizontal="center" textRotation="90" vertical="center"/>
    </xf>
    <xf borderId="12" fillId="3" fontId="2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3" fontId="5" numFmtId="0" xfId="0" applyAlignment="1" applyBorder="1" applyFont="1">
      <alignment horizontal="center" shrinkToFit="0" textRotation="90" vertical="center" wrapText="1"/>
    </xf>
    <xf borderId="12" fillId="3" fontId="5" numFmtId="0" xfId="0" applyAlignment="1" applyBorder="1" applyFont="1">
      <alignment horizontal="center" shrinkToFit="0" textRotation="90" vertical="center" wrapText="1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12" fillId="3" fontId="2" numFmtId="9" xfId="0" applyAlignment="1" applyBorder="1" applyFont="1" applyNumberFormat="1">
      <alignment horizontal="center" textRotation="90" vertical="center"/>
    </xf>
    <xf borderId="12" fillId="3" fontId="2" numFmtId="9" xfId="0" applyAlignment="1" applyBorder="1" applyFont="1" applyNumberFormat="1">
      <alignment horizontal="center" shrinkToFit="0" textRotation="90" vertical="center" wrapText="1"/>
    </xf>
    <xf borderId="12" fillId="4" fontId="5" numFmtId="0" xfId="0" applyAlignment="1" applyBorder="1" applyFill="1" applyFont="1">
      <alignment horizontal="center" vertical="center"/>
    </xf>
    <xf borderId="8" fillId="4" fontId="5" numFmtId="0" xfId="0" applyAlignment="1" applyBorder="1" applyFont="1">
      <alignment readingOrder="0" shrinkToFit="0" vertical="center" wrapText="1"/>
    </xf>
    <xf borderId="25" fillId="0" fontId="4" numFmtId="0" xfId="0" applyBorder="1" applyFont="1"/>
    <xf borderId="12" fillId="4" fontId="5" numFmtId="0" xfId="0" applyAlignment="1" applyBorder="1" applyFont="1">
      <alignment readingOrder="0" shrinkToFit="0" vertical="center" wrapText="1"/>
    </xf>
    <xf borderId="12" fillId="4" fontId="5" numFmtId="164" xfId="0" applyAlignment="1" applyBorder="1" applyFont="1" applyNumberFormat="1">
      <alignment horizontal="center" readingOrder="0" shrinkToFit="0" vertical="center" wrapText="1"/>
    </xf>
    <xf borderId="12" fillId="0" fontId="5" numFmtId="1" xfId="0" applyAlignment="1" applyBorder="1" applyFont="1" applyNumberFormat="1">
      <alignment horizontal="center" vertical="center"/>
    </xf>
    <xf borderId="12" fillId="0" fontId="5" numFmtId="1" xfId="0" applyAlignment="1" applyBorder="1" applyFont="1" applyNumberFormat="1">
      <alignment horizontal="center" readingOrder="0" vertical="center"/>
    </xf>
    <xf borderId="12" fillId="0" fontId="5" numFmtId="165" xfId="0" applyAlignment="1" applyBorder="1" applyFont="1" applyNumberFormat="1">
      <alignment horizontal="center" vertical="center"/>
    </xf>
    <xf borderId="12" fillId="0" fontId="5" numFmtId="1" xfId="0" applyAlignment="1" applyBorder="1" applyFont="1" applyNumberFormat="1">
      <alignment horizontal="center" shrinkToFit="0" vertical="center" wrapText="1"/>
    </xf>
    <xf borderId="12" fillId="4" fontId="5" numFmtId="0" xfId="0" applyAlignment="1" applyBorder="1" applyFont="1">
      <alignment readingOrder="0" shrinkToFit="0" vertical="center" wrapText="1"/>
    </xf>
    <xf borderId="8" fillId="4" fontId="5" numFmtId="164" xfId="0" applyAlignment="1" applyBorder="1" applyFont="1" applyNumberFormat="1">
      <alignment horizontal="left" readingOrder="0" shrinkToFit="0" vertical="center" wrapText="1"/>
    </xf>
    <xf borderId="12" fillId="0" fontId="5" numFmtId="0" xfId="0" applyAlignment="1" applyBorder="1" applyFont="1">
      <alignment readingOrder="0" shrinkToFit="0" vertical="center" wrapText="1"/>
    </xf>
    <xf borderId="12" fillId="0" fontId="5" numFmtId="1" xfId="0" applyAlignment="1" applyBorder="1" applyFont="1" applyNumberFormat="1">
      <alignment horizontal="center" readingOrder="0" shrinkToFit="0" vertical="center" wrapText="1"/>
    </xf>
    <xf borderId="8" fillId="4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horizontal="right" shrinkToFit="0" vertical="center" wrapText="1"/>
    </xf>
    <xf borderId="0" fillId="0" fontId="5" numFmtId="0" xfId="0" applyFont="1"/>
    <xf borderId="8" fillId="3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textRotation="90" vertical="center"/>
    </xf>
    <xf borderId="8" fillId="3" fontId="2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8" fillId="0" fontId="5" numFmtId="0" xfId="0" applyBorder="1" applyFont="1"/>
    <xf borderId="25" fillId="0" fontId="5" numFmtId="0" xfId="0" applyBorder="1" applyFont="1"/>
    <xf borderId="12" fillId="0" fontId="5" numFmtId="16" xfId="0" applyAlignment="1" applyBorder="1" applyFont="1" applyNumberFormat="1">
      <alignment horizontal="center" vertical="center"/>
    </xf>
    <xf borderId="25" fillId="0" fontId="5" numFmtId="16" xfId="0" applyBorder="1" applyFont="1" applyNumberFormat="1"/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25" fillId="0" fontId="5" numFmtId="0" xfId="0" applyAlignment="1" applyBorder="1" applyFont="1">
      <alignment vertical="center"/>
    </xf>
    <xf borderId="0" fillId="0" fontId="7" numFmtId="0" xfId="0" applyFont="1"/>
    <xf borderId="8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1</xdr:row>
      <xdr:rowOff>19050</xdr:rowOff>
    </xdr:from>
    <xdr:ext cx="8258175" cy="1114425"/>
    <xdr:grpSp>
      <xdr:nvGrpSpPr>
        <xdr:cNvPr id="2" name="Shape 2" title="Dibujo"/>
        <xdr:cNvGrpSpPr/>
      </xdr:nvGrpSpPr>
      <xdr:grpSpPr>
        <a:xfrm>
          <a:off x="1893188" y="3318038"/>
          <a:ext cx="6905625" cy="923925"/>
          <a:chOff x="1893188" y="3318038"/>
          <a:chExt cx="6905625" cy="923925"/>
        </a:xfrm>
      </xdr:grpSpPr>
      <xdr:grpSp>
        <xdr:nvGrpSpPr>
          <xdr:cNvPr id="3" name="Shape 3"/>
          <xdr:cNvGrpSpPr/>
        </xdr:nvGrpSpPr>
        <xdr:grpSpPr>
          <a:xfrm>
            <a:off x="1893188" y="3318038"/>
            <a:ext cx="6905625" cy="923925"/>
            <a:chOff x="0" y="0"/>
            <a:chExt cx="7618672" cy="1194158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PD-FOR-007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>
          <xdr:nvCxnSpPr>
            <xdr:cNvPr id="6" name="Shape 6"/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cap="flat" cmpd="sng" w="381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7" name="Shape 7"/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254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" name="Shape 8"/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254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" name="Shape 9"/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fmla="val 16667" name="adj"/>
              </a:avLst>
            </a:prstGeom>
            <a:noFill/>
            <a:ln cap="flat" cmpd="sng" w="254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1" name="Shape 11"/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2" name="Shape 12"/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3" name="Shape 13"/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001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05/01/2022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>
          <xdr:nvSpPr>
            <xdr:cNvPr id="15" name="Shape 15"/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EVALUACIÓN Y REEVALUACIÓN DE PROVEEDORES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pic>
          <xdr:nvPicPr>
            <xdr:cNvPr id="16" name="Shape 1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006" y="62556"/>
              <a:ext cx="1756996" cy="92670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22.0"/>
    <col customWidth="1" min="3" max="3" width="10.14"/>
    <col customWidth="1" min="4" max="4" width="33.0"/>
    <col customWidth="1" min="5" max="5" width="38.71"/>
    <col customWidth="1" min="6" max="6" width="21.0"/>
    <col customWidth="1" min="7" max="7" width="6.0"/>
    <col customWidth="1" min="8" max="9" width="6.29"/>
    <col customWidth="1" min="10" max="10" width="7.0"/>
    <col customWidth="1" min="11" max="11" width="5.71"/>
    <col customWidth="1" min="12" max="13" width="6.29"/>
    <col customWidth="1" min="14" max="14" width="11.86"/>
    <col customWidth="1" min="15" max="15" width="18.14"/>
    <col customWidth="1" min="16" max="26" width="11.43"/>
  </cols>
  <sheetData>
    <row r="1" ht="14.2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5"/>
      <c r="N5" s="5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"/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6"/>
      <c r="B8" s="6"/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8.25" customHeight="1">
      <c r="A9" s="7" t="s">
        <v>0</v>
      </c>
      <c r="B9" s="8" t="s">
        <v>1</v>
      </c>
      <c r="C9" s="9"/>
      <c r="D9" s="10"/>
      <c r="E9" s="11" t="s">
        <v>2</v>
      </c>
      <c r="F9" s="12" t="s">
        <v>3</v>
      </c>
      <c r="G9" s="13" t="s">
        <v>4</v>
      </c>
      <c r="H9" s="14"/>
      <c r="I9" s="14"/>
      <c r="J9" s="14"/>
      <c r="K9" s="14"/>
      <c r="L9" s="15"/>
      <c r="M9" s="16"/>
      <c r="N9" s="17" t="s">
        <v>5</v>
      </c>
      <c r="O9" s="18" t="s">
        <v>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85.5" customHeight="1">
      <c r="A10" s="19"/>
      <c r="B10" s="20"/>
      <c r="D10" s="21"/>
      <c r="E10" s="22"/>
      <c r="F10" s="23"/>
      <c r="G10" s="24" t="s">
        <v>7</v>
      </c>
      <c r="H10" s="25" t="s">
        <v>8</v>
      </c>
      <c r="I10" s="25" t="s">
        <v>9</v>
      </c>
      <c r="J10" s="25" t="s">
        <v>10</v>
      </c>
      <c r="K10" s="25" t="s">
        <v>11</v>
      </c>
      <c r="L10" s="25" t="s">
        <v>12</v>
      </c>
      <c r="M10" s="25" t="s">
        <v>13</v>
      </c>
      <c r="N10" s="26"/>
      <c r="O10" s="12" t="s">
        <v>14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4.5" customHeight="1">
      <c r="A11" s="27"/>
      <c r="B11" s="28"/>
      <c r="C11" s="29"/>
      <c r="D11" s="30"/>
      <c r="E11" s="31"/>
      <c r="F11" s="26"/>
      <c r="G11" s="32">
        <v>0.2</v>
      </c>
      <c r="H11" s="33">
        <v>0.15</v>
      </c>
      <c r="I11" s="33">
        <v>0.1</v>
      </c>
      <c r="J11" s="32">
        <v>0.1</v>
      </c>
      <c r="K11" s="32">
        <v>0.15</v>
      </c>
      <c r="L11" s="32">
        <v>0.15</v>
      </c>
      <c r="M11" s="32">
        <v>0.15</v>
      </c>
      <c r="N11" s="32">
        <f>SUM(G11:M11)</f>
        <v>1</v>
      </c>
      <c r="O11" s="2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34">
        <v>1.0</v>
      </c>
      <c r="B12" s="35" t="s">
        <v>15</v>
      </c>
      <c r="C12" s="14"/>
      <c r="D12" s="36"/>
      <c r="E12" s="37" t="s">
        <v>16</v>
      </c>
      <c r="F12" s="38">
        <v>44668.0</v>
      </c>
      <c r="G12" s="39">
        <v>5.0</v>
      </c>
      <c r="H12" s="39">
        <v>5.0</v>
      </c>
      <c r="I12" s="39">
        <v>3.0</v>
      </c>
      <c r="J12" s="40">
        <v>5.0</v>
      </c>
      <c r="K12" s="39">
        <v>3.0</v>
      </c>
      <c r="L12" s="39">
        <v>5.0</v>
      </c>
      <c r="M12" s="39">
        <v>5.0</v>
      </c>
      <c r="N12" s="41">
        <f t="shared" ref="N12:N23" si="1">(G12*G$11)+(H12*H$11)+(I12*I$11)+(J12*J$11)+(K12*K$11)+(L12*L$11)+(M12*$M$11)</f>
        <v>4.5</v>
      </c>
      <c r="O12" s="42" t="str">
        <f t="shared" ref="O12:O23" si="2">IF(N12=0,"",IF(N12&gt;=4.1," EXCELENTE",IF(N12&gt;=3,"BUENO",IF(N12&lt;2.9,"REGULAR"))))</f>
        <v> EXCELENTE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34">
        <v>2.0</v>
      </c>
      <c r="B13" s="35" t="s">
        <v>17</v>
      </c>
      <c r="C13" s="14"/>
      <c r="D13" s="36"/>
      <c r="E13" s="43" t="s">
        <v>18</v>
      </c>
      <c r="F13" s="38">
        <v>44668.0</v>
      </c>
      <c r="G13" s="40">
        <v>5.0</v>
      </c>
      <c r="H13" s="40">
        <v>3.0</v>
      </c>
      <c r="I13" s="40">
        <v>5.0</v>
      </c>
      <c r="J13" s="40">
        <v>3.0</v>
      </c>
      <c r="K13" s="40">
        <v>5.0</v>
      </c>
      <c r="L13" s="40">
        <v>5.0</v>
      </c>
      <c r="M13" s="40">
        <v>5.0</v>
      </c>
      <c r="N13" s="41">
        <f t="shared" si="1"/>
        <v>4.5</v>
      </c>
      <c r="O13" s="42" t="str">
        <f t="shared" si="2"/>
        <v> EXCELENTE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34">
        <v>3.0</v>
      </c>
      <c r="B14" s="44" t="s">
        <v>19</v>
      </c>
      <c r="C14" s="14"/>
      <c r="D14" s="36"/>
      <c r="E14" s="45" t="s">
        <v>20</v>
      </c>
      <c r="F14" s="38">
        <v>44668.0</v>
      </c>
      <c r="G14" s="46">
        <v>3.0</v>
      </c>
      <c r="H14" s="46">
        <v>3.0</v>
      </c>
      <c r="I14" s="40">
        <v>3.0</v>
      </c>
      <c r="J14" s="40">
        <v>5.0</v>
      </c>
      <c r="K14" s="40">
        <v>5.0</v>
      </c>
      <c r="L14" s="40">
        <v>3.0</v>
      </c>
      <c r="M14" s="40">
        <v>5.0</v>
      </c>
      <c r="N14" s="41">
        <f t="shared" si="1"/>
        <v>3.8</v>
      </c>
      <c r="O14" s="42" t="str">
        <f t="shared" si="2"/>
        <v>BUENO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34">
        <v>4.0</v>
      </c>
      <c r="B15" s="44" t="s">
        <v>21</v>
      </c>
      <c r="C15" s="14"/>
      <c r="D15" s="36"/>
      <c r="E15" s="45" t="s">
        <v>22</v>
      </c>
      <c r="F15" s="38">
        <v>44668.0</v>
      </c>
      <c r="G15" s="46">
        <v>5.0</v>
      </c>
      <c r="H15" s="46">
        <v>5.0</v>
      </c>
      <c r="I15" s="40">
        <v>3.0</v>
      </c>
      <c r="J15" s="40">
        <v>3.0</v>
      </c>
      <c r="K15" s="40">
        <v>3.0</v>
      </c>
      <c r="L15" s="40">
        <v>5.0</v>
      </c>
      <c r="M15" s="40">
        <v>5.0</v>
      </c>
      <c r="N15" s="41">
        <f t="shared" si="1"/>
        <v>4.3</v>
      </c>
      <c r="O15" s="42" t="str">
        <f t="shared" si="2"/>
        <v> EXCELENTE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34">
        <v>5.0</v>
      </c>
      <c r="B16" s="44" t="s">
        <v>23</v>
      </c>
      <c r="C16" s="14"/>
      <c r="D16" s="36"/>
      <c r="E16" s="45" t="s">
        <v>24</v>
      </c>
      <c r="F16" s="38">
        <v>44668.0</v>
      </c>
      <c r="G16" s="46">
        <v>5.0</v>
      </c>
      <c r="H16" s="46">
        <v>5.0</v>
      </c>
      <c r="I16" s="40">
        <v>3.0</v>
      </c>
      <c r="J16" s="40">
        <v>3.0</v>
      </c>
      <c r="K16" s="40">
        <v>3.0</v>
      </c>
      <c r="L16" s="40">
        <v>5.0</v>
      </c>
      <c r="M16" s="40">
        <v>5.0</v>
      </c>
      <c r="N16" s="41">
        <f t="shared" si="1"/>
        <v>4.3</v>
      </c>
      <c r="O16" s="42" t="str">
        <f t="shared" si="2"/>
        <v> EXCELENTE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34">
        <v>6.0</v>
      </c>
      <c r="B17" s="44" t="s">
        <v>25</v>
      </c>
      <c r="C17" s="14"/>
      <c r="D17" s="36"/>
      <c r="E17" s="45" t="s">
        <v>26</v>
      </c>
      <c r="F17" s="38">
        <v>44668.0</v>
      </c>
      <c r="G17" s="46">
        <v>5.0</v>
      </c>
      <c r="H17" s="46">
        <v>5.0</v>
      </c>
      <c r="I17" s="40">
        <v>3.0</v>
      </c>
      <c r="J17" s="40">
        <v>3.0</v>
      </c>
      <c r="K17" s="40">
        <v>5.0</v>
      </c>
      <c r="L17" s="40">
        <v>3.0</v>
      </c>
      <c r="M17" s="40">
        <v>5.0</v>
      </c>
      <c r="N17" s="41">
        <f t="shared" si="1"/>
        <v>4.3</v>
      </c>
      <c r="O17" s="42" t="str">
        <f t="shared" si="2"/>
        <v> EXCELENTE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34">
        <v>7.0</v>
      </c>
      <c r="B18" s="44" t="s">
        <v>27</v>
      </c>
      <c r="C18" s="14"/>
      <c r="D18" s="36"/>
      <c r="E18" s="45" t="s">
        <v>28</v>
      </c>
      <c r="F18" s="38">
        <v>44668.0</v>
      </c>
      <c r="G18" s="46">
        <v>5.0</v>
      </c>
      <c r="H18" s="46">
        <v>5.0</v>
      </c>
      <c r="I18" s="40">
        <v>3.0</v>
      </c>
      <c r="J18" s="40">
        <v>3.0</v>
      </c>
      <c r="K18" s="40">
        <v>5.0</v>
      </c>
      <c r="L18" s="40">
        <v>5.0</v>
      </c>
      <c r="M18" s="40">
        <v>3.0</v>
      </c>
      <c r="N18" s="41">
        <f t="shared" si="1"/>
        <v>4.3</v>
      </c>
      <c r="O18" s="42" t="str">
        <f t="shared" si="2"/>
        <v> EXCELENTE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34">
        <v>8.0</v>
      </c>
      <c r="B19" s="44" t="s">
        <v>29</v>
      </c>
      <c r="C19" s="14"/>
      <c r="D19" s="36"/>
      <c r="E19" s="45" t="s">
        <v>30</v>
      </c>
      <c r="F19" s="38">
        <v>44668.0</v>
      </c>
      <c r="G19" s="46">
        <v>3.0</v>
      </c>
      <c r="H19" s="46">
        <v>3.0</v>
      </c>
      <c r="I19" s="40">
        <v>3.0</v>
      </c>
      <c r="J19" s="40">
        <v>3.0</v>
      </c>
      <c r="K19" s="40">
        <v>5.0</v>
      </c>
      <c r="L19" s="40">
        <v>3.0</v>
      </c>
      <c r="M19" s="40">
        <v>5.0</v>
      </c>
      <c r="N19" s="41">
        <f t="shared" si="1"/>
        <v>3.6</v>
      </c>
      <c r="O19" s="42" t="str">
        <f t="shared" si="2"/>
        <v>BUENO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34">
        <v>9.0</v>
      </c>
      <c r="B20" s="44" t="s">
        <v>31</v>
      </c>
      <c r="C20" s="14"/>
      <c r="D20" s="36"/>
      <c r="E20" s="45" t="s">
        <v>32</v>
      </c>
      <c r="F20" s="38">
        <v>44668.0</v>
      </c>
      <c r="G20" s="40">
        <v>5.0</v>
      </c>
      <c r="H20" s="40">
        <v>3.0</v>
      </c>
      <c r="I20" s="40">
        <v>5.0</v>
      </c>
      <c r="J20" s="40">
        <v>3.0</v>
      </c>
      <c r="K20" s="40">
        <v>5.0</v>
      </c>
      <c r="L20" s="40">
        <v>5.0</v>
      </c>
      <c r="M20" s="40">
        <v>5.0</v>
      </c>
      <c r="N20" s="41">
        <f t="shared" si="1"/>
        <v>4.5</v>
      </c>
      <c r="O20" s="42" t="str">
        <f t="shared" si="2"/>
        <v> EXCELENTE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34">
        <v>10.0</v>
      </c>
      <c r="B21" s="47"/>
      <c r="C21" s="14"/>
      <c r="D21" s="36"/>
      <c r="E21" s="48"/>
      <c r="F21" s="49"/>
      <c r="G21" s="39"/>
      <c r="H21" s="39"/>
      <c r="I21" s="39"/>
      <c r="J21" s="39"/>
      <c r="K21" s="39"/>
      <c r="L21" s="39"/>
      <c r="M21" s="39"/>
      <c r="N21" s="41">
        <f t="shared" si="1"/>
        <v>0</v>
      </c>
      <c r="O21" s="42" t="str">
        <f t="shared" si="2"/>
        <v/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0.0" customHeight="1">
      <c r="A22" s="34">
        <v>11.0</v>
      </c>
      <c r="B22" s="47"/>
      <c r="C22" s="14"/>
      <c r="D22" s="36"/>
      <c r="E22" s="48"/>
      <c r="F22" s="49"/>
      <c r="G22" s="39"/>
      <c r="H22" s="39"/>
      <c r="I22" s="39"/>
      <c r="J22" s="39"/>
      <c r="K22" s="39"/>
      <c r="L22" s="39"/>
      <c r="M22" s="39"/>
      <c r="N22" s="41">
        <f t="shared" si="1"/>
        <v>0</v>
      </c>
      <c r="O22" s="42" t="str">
        <f t="shared" si="2"/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34">
        <v>12.0</v>
      </c>
      <c r="B23" s="47"/>
      <c r="C23" s="14"/>
      <c r="D23" s="36"/>
      <c r="E23" s="48"/>
      <c r="F23" s="49"/>
      <c r="G23" s="39"/>
      <c r="H23" s="39"/>
      <c r="I23" s="39"/>
      <c r="J23" s="39"/>
      <c r="K23" s="39"/>
      <c r="L23" s="39"/>
      <c r="M23" s="39"/>
      <c r="N23" s="41">
        <f t="shared" si="1"/>
        <v>0</v>
      </c>
      <c r="O23" s="42" t="str">
        <f t="shared" si="2"/>
        <v/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6.0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51" t="s">
        <v>33</v>
      </c>
      <c r="B26" s="14"/>
      <c r="C26" s="14"/>
      <c r="D26" s="36"/>
      <c r="E26" s="1"/>
      <c r="F26" s="1"/>
      <c r="G26" s="1"/>
      <c r="H26" s="1"/>
      <c r="I26" s="1"/>
      <c r="J26" s="1"/>
      <c r="K26" s="1"/>
      <c r="L26" s="1"/>
      <c r="M26" s="1"/>
      <c r="N26" s="1"/>
      <c r="O26" s="50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50"/>
      <c r="B27" s="50"/>
      <c r="C27" s="50"/>
      <c r="D27" s="50"/>
      <c r="E27" s="1"/>
      <c r="F27" s="1"/>
      <c r="G27" s="1"/>
      <c r="H27" s="1"/>
      <c r="I27" s="1"/>
      <c r="J27" s="1"/>
      <c r="K27" s="1"/>
      <c r="L27" s="1"/>
      <c r="M27" s="1"/>
      <c r="N27" s="1"/>
      <c r="O27" s="5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52" t="s">
        <v>34</v>
      </c>
      <c r="B28" s="53" t="s">
        <v>35</v>
      </c>
      <c r="C28" s="14"/>
      <c r="D28" s="36"/>
      <c r="E28" s="1"/>
      <c r="F28" s="1"/>
      <c r="G28" s="1"/>
      <c r="H28" s="1"/>
      <c r="I28" s="1"/>
      <c r="J28" s="1"/>
      <c r="K28" s="1"/>
      <c r="L28" s="1"/>
      <c r="M28" s="1"/>
      <c r="N28" s="1"/>
      <c r="O28" s="50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23"/>
      <c r="B29" s="54">
        <v>1.0</v>
      </c>
      <c r="C29" s="55" t="s">
        <v>36</v>
      </c>
      <c r="D29" s="56"/>
      <c r="E29" s="1"/>
      <c r="F29" s="1"/>
      <c r="G29" s="1"/>
      <c r="H29" s="1"/>
      <c r="I29" s="1"/>
      <c r="J29" s="1"/>
      <c r="K29" s="1"/>
      <c r="L29" s="1"/>
      <c r="M29" s="1"/>
      <c r="N29" s="1"/>
      <c r="O29" s="50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23"/>
      <c r="B30" s="54">
        <v>3.0</v>
      </c>
      <c r="C30" s="55" t="s">
        <v>37</v>
      </c>
      <c r="D30" s="56"/>
      <c r="E30" s="1"/>
      <c r="F30" s="1"/>
      <c r="G30" s="1"/>
      <c r="H30" s="1"/>
      <c r="I30" s="1"/>
      <c r="J30" s="1"/>
      <c r="K30" s="1"/>
      <c r="L30" s="1"/>
      <c r="M30" s="1"/>
      <c r="N30" s="1"/>
      <c r="O30" s="5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3"/>
      <c r="B31" s="54">
        <v>5.0</v>
      </c>
      <c r="C31" s="55" t="s">
        <v>38</v>
      </c>
      <c r="D31" s="56"/>
      <c r="E31" s="1"/>
      <c r="F31" s="1"/>
      <c r="G31" s="1"/>
      <c r="H31" s="1"/>
      <c r="I31" s="1"/>
      <c r="J31" s="1"/>
      <c r="K31" s="1"/>
      <c r="L31" s="1"/>
      <c r="M31" s="1"/>
      <c r="N31" s="1"/>
      <c r="O31" s="50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3"/>
      <c r="B32" s="53" t="s">
        <v>39</v>
      </c>
      <c r="C32" s="14"/>
      <c r="D32" s="36"/>
      <c r="E32" s="1"/>
      <c r="F32" s="1"/>
      <c r="G32" s="1"/>
      <c r="H32" s="1"/>
      <c r="I32" s="1"/>
      <c r="J32" s="1"/>
      <c r="K32" s="1"/>
      <c r="L32" s="1"/>
      <c r="M32" s="1"/>
      <c r="N32" s="1"/>
      <c r="O32" s="50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3"/>
      <c r="B33" s="54" t="s">
        <v>40</v>
      </c>
      <c r="C33" s="55" t="s">
        <v>41</v>
      </c>
      <c r="D33" s="56"/>
      <c r="E33" s="1"/>
      <c r="F33" s="1"/>
      <c r="G33" s="1"/>
      <c r="H33" s="1"/>
      <c r="I33" s="1"/>
      <c r="J33" s="1"/>
      <c r="K33" s="1"/>
      <c r="L33" s="1"/>
      <c r="M33" s="1"/>
      <c r="N33" s="1"/>
      <c r="O33" s="5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23"/>
      <c r="B34" s="57" t="s">
        <v>42</v>
      </c>
      <c r="C34" s="55" t="s">
        <v>37</v>
      </c>
      <c r="D34" s="58"/>
      <c r="E34" s="1"/>
      <c r="F34" s="1"/>
      <c r="G34" s="1"/>
      <c r="H34" s="1"/>
      <c r="I34" s="1"/>
      <c r="J34" s="1"/>
      <c r="K34" s="1"/>
      <c r="L34" s="1"/>
      <c r="M34" s="1"/>
      <c r="N34" s="1"/>
      <c r="O34" s="5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26"/>
      <c r="B35" s="54" t="s">
        <v>43</v>
      </c>
      <c r="C35" s="55" t="s">
        <v>38</v>
      </c>
      <c r="D35" s="56"/>
      <c r="E35" s="1"/>
      <c r="F35" s="1"/>
      <c r="G35" s="1"/>
      <c r="H35" s="1"/>
      <c r="I35" s="1"/>
      <c r="J35" s="1"/>
      <c r="K35" s="1"/>
      <c r="L35" s="1"/>
      <c r="M35" s="1"/>
      <c r="N35" s="1"/>
      <c r="O35" s="50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50"/>
      <c r="B36" s="50"/>
      <c r="C36" s="50"/>
      <c r="D36" s="50"/>
      <c r="E36" s="1"/>
      <c r="F36" s="1"/>
      <c r="G36" s="1"/>
      <c r="H36" s="1"/>
      <c r="I36" s="1"/>
      <c r="J36" s="1"/>
      <c r="K36" s="1"/>
      <c r="L36" s="1"/>
      <c r="M36" s="1"/>
      <c r="N36" s="1"/>
      <c r="O36" s="5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53" t="s">
        <v>44</v>
      </c>
      <c r="B37" s="14"/>
      <c r="C37" s="14"/>
      <c r="D37" s="36"/>
      <c r="E37" s="1"/>
      <c r="F37" s="1"/>
      <c r="G37" s="1"/>
      <c r="H37" s="1"/>
      <c r="I37" s="1"/>
      <c r="J37" s="1"/>
      <c r="K37" s="1"/>
      <c r="L37" s="1"/>
      <c r="M37" s="1"/>
      <c r="N37" s="1"/>
      <c r="O37" s="50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9.25" customHeight="1">
      <c r="A38" s="59" t="s">
        <v>7</v>
      </c>
      <c r="B38" s="36"/>
      <c r="C38" s="60"/>
      <c r="D38" s="61"/>
      <c r="E38" s="1"/>
      <c r="F38" s="1"/>
      <c r="G38" s="1"/>
      <c r="H38" s="1"/>
      <c r="I38" s="1"/>
      <c r="J38" s="1"/>
      <c r="K38" s="1"/>
      <c r="L38" s="1"/>
      <c r="M38" s="1"/>
      <c r="N38" s="1"/>
      <c r="O38" s="6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9.25" customHeight="1">
      <c r="A39" s="63" t="s">
        <v>45</v>
      </c>
      <c r="B39" s="36"/>
      <c r="C39" s="60"/>
      <c r="D39" s="61"/>
      <c r="E39" s="1"/>
      <c r="F39" s="1"/>
      <c r="G39" s="1"/>
      <c r="H39" s="1"/>
      <c r="I39" s="1"/>
      <c r="J39" s="1"/>
      <c r="K39" s="1"/>
      <c r="L39" s="1"/>
      <c r="M39" s="1"/>
      <c r="N39" s="1"/>
      <c r="O39" s="6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9.25" customHeight="1">
      <c r="A40" s="63" t="s">
        <v>46</v>
      </c>
      <c r="B40" s="36"/>
      <c r="C40" s="60"/>
      <c r="D40" s="61"/>
      <c r="E40" s="1"/>
      <c r="F40" s="1"/>
      <c r="G40" s="1"/>
      <c r="H40" s="1"/>
      <c r="I40" s="1"/>
      <c r="J40" s="1"/>
      <c r="K40" s="1"/>
      <c r="L40" s="1"/>
      <c r="M40" s="1"/>
      <c r="N40" s="1"/>
      <c r="O40" s="6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9.25" customHeight="1">
      <c r="A41" s="63" t="s">
        <v>10</v>
      </c>
      <c r="B41" s="36"/>
      <c r="C41" s="60"/>
      <c r="D41" s="61"/>
      <c r="E41" s="1"/>
      <c r="F41" s="1"/>
      <c r="G41" s="1"/>
      <c r="H41" s="1"/>
      <c r="I41" s="1"/>
      <c r="J41" s="1"/>
      <c r="K41" s="1"/>
      <c r="L41" s="1"/>
      <c r="M41" s="1"/>
      <c r="N41" s="1"/>
      <c r="O41" s="6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9.25" customHeight="1">
      <c r="A42" s="63" t="s">
        <v>11</v>
      </c>
      <c r="B42" s="36"/>
      <c r="C42" s="60"/>
      <c r="D42" s="61"/>
      <c r="E42" s="1"/>
      <c r="F42" s="1"/>
      <c r="G42" s="1"/>
      <c r="H42" s="1"/>
      <c r="I42" s="1"/>
      <c r="J42" s="1"/>
      <c r="K42" s="1"/>
      <c r="L42" s="1"/>
      <c r="M42" s="1"/>
      <c r="N42" s="1"/>
      <c r="O42" s="6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8.5" customHeight="1">
      <c r="A43" s="63" t="s">
        <v>12</v>
      </c>
      <c r="B43" s="36"/>
      <c r="C43" s="60"/>
      <c r="D43" s="61"/>
      <c r="E43" s="1"/>
      <c r="F43" s="1"/>
      <c r="G43" s="1"/>
      <c r="H43" s="1"/>
      <c r="I43" s="1"/>
      <c r="J43" s="1"/>
      <c r="K43" s="1"/>
      <c r="L43" s="1"/>
      <c r="M43" s="1"/>
      <c r="N43" s="1"/>
      <c r="O43" s="6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2.25" customHeight="1">
      <c r="A44" s="63" t="s">
        <v>13</v>
      </c>
      <c r="B44" s="36"/>
      <c r="C44" s="60"/>
      <c r="D44" s="61"/>
      <c r="E44" s="1"/>
      <c r="F44" s="1"/>
      <c r="G44" s="50"/>
      <c r="H44" s="50"/>
      <c r="I44" s="50"/>
      <c r="J44" s="50"/>
      <c r="K44" s="50"/>
      <c r="L44" s="50"/>
      <c r="M44" s="50"/>
      <c r="N44" s="50"/>
      <c r="O44" s="6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A9:A11"/>
    <mergeCell ref="B9:D11"/>
    <mergeCell ref="E9:E11"/>
    <mergeCell ref="F9:F11"/>
    <mergeCell ref="G9:L9"/>
    <mergeCell ref="N9:N10"/>
    <mergeCell ref="O10:O11"/>
    <mergeCell ref="B12:D12"/>
    <mergeCell ref="B13:D13"/>
    <mergeCell ref="B14:D14"/>
    <mergeCell ref="B15:D15"/>
    <mergeCell ref="B16:D16"/>
    <mergeCell ref="B17:D17"/>
    <mergeCell ref="B18:D18"/>
    <mergeCell ref="B28:D28"/>
    <mergeCell ref="B32:D32"/>
    <mergeCell ref="A37:D37"/>
    <mergeCell ref="A38:B38"/>
    <mergeCell ref="A39:B39"/>
    <mergeCell ref="A40:B40"/>
    <mergeCell ref="A41:B41"/>
    <mergeCell ref="A42:B42"/>
    <mergeCell ref="A43:B43"/>
    <mergeCell ref="A44:B44"/>
    <mergeCell ref="B19:D19"/>
    <mergeCell ref="B20:D20"/>
    <mergeCell ref="B21:D21"/>
    <mergeCell ref="B22:D22"/>
    <mergeCell ref="B23:D23"/>
    <mergeCell ref="A26:D26"/>
    <mergeCell ref="A28:A35"/>
  </mergeCells>
  <printOptions horizontalCentered="1"/>
  <pageMargins bottom="0.4724409448818898" footer="0.0" header="0.0" left="0.5118110236220472" right="0.5118110236220472" top="0.629921259842519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2011-02-21T23:04:51Z</dcterms:created>
  <dc:creator>Juan Carlos Coayla Mendoza</dc:creator>
</cp:coreProperties>
</file>