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\Desktop\PERUVIAN\"/>
    </mc:Choice>
  </mc:AlternateContent>
  <bookViews>
    <workbookView xWindow="-120" yWindow="-120" windowWidth="20730" windowHeight="11160"/>
  </bookViews>
  <sheets>
    <sheet name="Hoja1" sheetId="1" r:id="rId1"/>
    <sheet name="DB" sheetId="3" r:id="rId2"/>
  </sheets>
  <definedNames>
    <definedName name="_xlnm._FilterDatabase" localSheetId="0" hidden="1">Hoja1!$A$10:$V$39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1" l="1"/>
  <c r="A20" i="1"/>
  <c r="N12" i="1"/>
  <c r="O12" i="1" s="1"/>
  <c r="N13" i="1"/>
  <c r="O13" i="1" s="1"/>
  <c r="N14" i="1"/>
  <c r="O14" i="1" s="1"/>
  <c r="N16" i="1"/>
  <c r="O16" i="1" s="1"/>
  <c r="N17" i="1"/>
  <c r="O17" i="1" s="1"/>
  <c r="N18" i="1"/>
  <c r="O18" i="1" s="1"/>
  <c r="N19" i="1"/>
  <c r="O19" i="1" s="1"/>
  <c r="N21" i="1"/>
  <c r="O21" i="1" s="1"/>
  <c r="N22" i="1"/>
  <c r="O22" i="1" s="1"/>
  <c r="N23" i="1"/>
  <c r="O23" i="1" s="1"/>
  <c r="N24" i="1"/>
  <c r="O24" i="1" s="1"/>
  <c r="N26" i="1"/>
  <c r="O26" i="1" s="1"/>
  <c r="N27" i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7" i="1"/>
  <c r="O37" i="1" s="1"/>
  <c r="N39" i="1"/>
  <c r="O39" i="1" s="1"/>
  <c r="N11" i="1"/>
  <c r="O11" i="1" s="1"/>
  <c r="A39" i="1"/>
  <c r="A12" i="1"/>
  <c r="A13" i="1"/>
  <c r="A14" i="1"/>
  <c r="A15" i="1"/>
  <c r="A16" i="1"/>
  <c r="A17" i="1"/>
  <c r="A18" i="1"/>
  <c r="A19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11" i="1"/>
</calcChain>
</file>

<file path=xl/sharedStrings.xml><?xml version="1.0" encoding="utf-8"?>
<sst xmlns="http://schemas.openxmlformats.org/spreadsheetml/2006/main" count="768" uniqueCount="176">
  <si>
    <t>Procesos</t>
  </si>
  <si>
    <t>Evaluacion de Eficacia</t>
  </si>
  <si>
    <t>No se realice la actividad de verificacion de medidas</t>
  </si>
  <si>
    <t>medidas distintas de la pieza y patrones</t>
  </si>
  <si>
    <t>No se realice la verificación de la cantidad de piezas que tiene el modelo</t>
  </si>
  <si>
    <t>No realice el escalado de acuerdo a los requerimientos y acuerdos con el cliente</t>
  </si>
  <si>
    <t>Rechazo de muestra por parte del cliente, consumo adicional de recursos planificados</t>
  </si>
  <si>
    <t>No se considere las especificaciones del cliente, como el tipo de costura (tipo de maquina), puntara</t>
  </si>
  <si>
    <t>retraso del armado del muestra, muestra incompleta</t>
  </si>
  <si>
    <t>Rechazo del trazo por parte del cliente, consumo adicional de recursos planificados</t>
  </si>
  <si>
    <t>Entregar una muestra junto a un documento de aceptacion de la muestra por parte del cliente</t>
  </si>
  <si>
    <t>Evitar posibles desacuerdos con el cliente que perjudiquen a la entrega final del producto</t>
  </si>
  <si>
    <t>*Toma de conciencia sobre la importancia de la actividad por prenda
*Publicar los lineamientos dentro de las instalaciones</t>
  </si>
  <si>
    <t xml:space="preserve">*Mantener por parte del Jefe de Producción coordinación con el cliente </t>
  </si>
  <si>
    <t>*Establecer como lineamiento la posibilidad de entregar una muestra al cliente</t>
  </si>
  <si>
    <t>Cumplimiento de tiempo promedio para la elaboracion del diseño del patron</t>
  </si>
  <si>
    <t>El personal no tiene la competencia suficiente para utilizar las herramientas de diseño</t>
  </si>
  <si>
    <t>Retraso para la elaboracion de los patrones y trazo del producto</t>
  </si>
  <si>
    <t>Evaluacion de conocimiento por parte del responsable.
Verificación de la actividad en campo.</t>
  </si>
  <si>
    <t>Verificación de los acuerdo enviados al cliente</t>
  </si>
  <si>
    <t>Verificación de generación de los cargos de entrega de la muestra</t>
  </si>
  <si>
    <t>Verificación del establecimiento de las competencias</t>
  </si>
  <si>
    <t>*Establecer la competencia como parte del perfil de responsable</t>
  </si>
  <si>
    <t>Ninguno</t>
  </si>
  <si>
    <t>*Se realiza la busqueda de personal con competencia de conocimiento en el uso del sistema de diseño</t>
  </si>
  <si>
    <t>Realizar el corte en la cantidad de capas equivocadas</t>
  </si>
  <si>
    <t>*Hoja de corte (especifica los requerimientos)</t>
  </si>
  <si>
    <t>*Toma de conciencia sobre la importancia de la actividad
*Publicar los lineamientos dentro de las instalaciones</t>
  </si>
  <si>
    <t>Realizar cortes mal realizados</t>
  </si>
  <si>
    <t>*Se realiza trazo sobre todo el largo de la tela</t>
  </si>
  <si>
    <t>Realizar mala Interpretacion de la ficha tecnica en cuanto al uso del tipo de color de codigo de hilo, tipo de maquina, numero de aguja entre otros</t>
  </si>
  <si>
    <t>Subproceso</t>
  </si>
  <si>
    <t>Corte</t>
  </si>
  <si>
    <t>Ensamble</t>
  </si>
  <si>
    <t>Acabado</t>
  </si>
  <si>
    <t>Recursos mal utilizados, exceso de tiempo de producción</t>
  </si>
  <si>
    <t>Recursos mal utilizados, desperdicio de material, exceso de tiempo de producción</t>
  </si>
  <si>
    <t>Desperdicio de material, exceso de tiempo entre otros recursos</t>
  </si>
  <si>
    <t>Despacho</t>
  </si>
  <si>
    <t>Exceso de tiempo de producción, desperdicio de recurso humano</t>
  </si>
  <si>
    <t>*Hoja de despacho (cantidad, talla entre otro)</t>
  </si>
  <si>
    <t>Colocacion de etiquetas y armado de paquetes incorrectas</t>
  </si>
  <si>
    <t>No realizar la verificación previa de operatividad en cuanto al cableado electrico</t>
  </si>
  <si>
    <t>Todos</t>
  </si>
  <si>
    <t>Lesiones al Trabajador, daños materiales</t>
  </si>
  <si>
    <t>*Recordatorio de la importancia de la verificación antes de inicio de operaciones</t>
  </si>
  <si>
    <t>Negociacion con el cliente</t>
  </si>
  <si>
    <t>Visita al cliente</t>
  </si>
  <si>
    <t>Estudio de mercado</t>
  </si>
  <si>
    <t>Lanzamiento de productos</t>
  </si>
  <si>
    <t>Sobre entendimiento de las necesidades de los clientes, lenguaje tecnico que no se conoce</t>
  </si>
  <si>
    <t>No se entienda las necesidades del cliente o se tome mal los requerimientos del cliente</t>
  </si>
  <si>
    <t>No se llegue a tiempo a las instalaciones para la visita pactada</t>
  </si>
  <si>
    <t>No se logre el acuerdo comercial con el cliente</t>
  </si>
  <si>
    <t>*Asistir con anticipación a las instalaciones del cliente</t>
  </si>
  <si>
    <t>Lanzamiento fuera de temporada</t>
  </si>
  <si>
    <t>Perdida de oportunidad de venta</t>
  </si>
  <si>
    <t>*lanzar los nuevos diseños con una anticipacion de 3 meses</t>
  </si>
  <si>
    <t>Declaración de impuestos</t>
  </si>
  <si>
    <t>Realizar incorrectamente la declaración de los impuestos</t>
  </si>
  <si>
    <t>Multas, mal manejos de los recursos</t>
  </si>
  <si>
    <t>*Revisión de las declaraciones por parte del Gerente General</t>
  </si>
  <si>
    <t>Compra de Materiales</t>
  </si>
  <si>
    <t>Distribución de entrega de pedidos</t>
  </si>
  <si>
    <t>No contar con el material a tiempo a causa de paradas o huelgas o accidentes</t>
  </si>
  <si>
    <t>Recepción de material dañado por parte del proveedor</t>
  </si>
  <si>
    <t>*Cambio de proveedor</t>
  </si>
  <si>
    <t>Perdida de material, exceso de recursos para recuperación del material</t>
  </si>
  <si>
    <t>Ejecución de Mantenimiento Preventivos y correctivos</t>
  </si>
  <si>
    <t>Selección y contratacion de personal</t>
  </si>
  <si>
    <t>Cobro a los cliente</t>
  </si>
  <si>
    <t>pago a proveedores</t>
  </si>
  <si>
    <t>pago de planillas</t>
  </si>
  <si>
    <t>manejo de caja</t>
  </si>
  <si>
    <t>Material de diferentes tonalidades</t>
  </si>
  <si>
    <t>Retraso en la producción y entrega al cliente</t>
  </si>
  <si>
    <t>*Calculo de material, establecimiento de margenes, establecimiento en la orden de compra</t>
  </si>
  <si>
    <t>No se entregue a tiempo por factores de demora en la producción o el transportista</t>
  </si>
  <si>
    <t>Incumplimiento de los acuerdos con el cliente</t>
  </si>
  <si>
    <t>*Seguimiento a la producción</t>
  </si>
  <si>
    <t>No se cuente con los recursos al momento de realizar el mantenimiento</t>
  </si>
  <si>
    <t>Parada inesperada de las maquinas, retraso en la entrega del producto</t>
  </si>
  <si>
    <t>*Planificación y seguimiento de los mantenimientos</t>
  </si>
  <si>
    <t>No se utilice adecuadamente las herramientas y maquinarias por parte del personal</t>
  </si>
  <si>
    <t>Baja produccion por descontento del trabajdor</t>
  </si>
  <si>
    <t>No se realice adecuadamente una selección al trabajor</t>
  </si>
  <si>
    <t>Mala gestion de cobranza</t>
  </si>
  <si>
    <t>No se cuente con los recursos necesarios para la compra de materiales y pagos diversos</t>
  </si>
  <si>
    <t>Retraso en la producción, desperdicio de recurso humano</t>
  </si>
  <si>
    <t>*Selección de acuerdo al perfil de puesto</t>
  </si>
  <si>
    <t>*Seguimiento de las ventas y pagos, en cuanto a dia de retraso</t>
  </si>
  <si>
    <t>R</t>
  </si>
  <si>
    <t>-</t>
  </si>
  <si>
    <t>Riesgos/Oportunidad</t>
  </si>
  <si>
    <t>O</t>
  </si>
  <si>
    <t>*Verificacion por parte del Patronista</t>
  </si>
  <si>
    <t>Sistema de Gestión</t>
  </si>
  <si>
    <t>FODA</t>
  </si>
  <si>
    <t>SGC</t>
  </si>
  <si>
    <t>Nro.</t>
  </si>
  <si>
    <t>Origen</t>
  </si>
  <si>
    <t>P1. Planeamiento Estrategico</t>
  </si>
  <si>
    <t>P2. Gestión SIG</t>
  </si>
  <si>
    <t>P3. Administración</t>
  </si>
  <si>
    <t>P4. Diseño</t>
  </si>
  <si>
    <t>P5. Confección</t>
  </si>
  <si>
    <t>P6. Gestión Comercial</t>
  </si>
  <si>
    <t>P7. Gestión Logistica</t>
  </si>
  <si>
    <t>P8. Mantenimiento y control de Equipo</t>
  </si>
  <si>
    <t>P10. Gestión Financiera</t>
  </si>
  <si>
    <t>Acciones Actuales para contrarestar el efecto</t>
  </si>
  <si>
    <t>Acciones</t>
  </si>
  <si>
    <t>PLANIFICACIÓN</t>
  </si>
  <si>
    <t>F. inicio</t>
  </si>
  <si>
    <t>F. Final</t>
  </si>
  <si>
    <t>Partes Interesadas</t>
  </si>
  <si>
    <t>SG</t>
  </si>
  <si>
    <t>SGSST</t>
  </si>
  <si>
    <t>Estrategias</t>
  </si>
  <si>
    <t>Evitar</t>
  </si>
  <si>
    <t>Asumir</t>
  </si>
  <si>
    <t>Eliminar</t>
  </si>
  <si>
    <t>Mantener</t>
  </si>
  <si>
    <t>Compartir</t>
  </si>
  <si>
    <t>Alcance del SIG</t>
  </si>
  <si>
    <t>Los peligros</t>
  </si>
  <si>
    <t>Los riesgos para la SST y otros riesgos</t>
  </si>
  <si>
    <t>Las oportunidades para la SST y otras oportunidades</t>
  </si>
  <si>
    <t>Los requisitos legales y otros requisitos</t>
  </si>
  <si>
    <t>Resultado</t>
  </si>
  <si>
    <t>CRITERIOS DE EVALUACIÓN</t>
  </si>
  <si>
    <t>P4. Recursos Humanos</t>
  </si>
  <si>
    <t>P5. Diseño</t>
  </si>
  <si>
    <t>P6. Confección</t>
  </si>
  <si>
    <t>P7. Gestión Comercial</t>
  </si>
  <si>
    <t>P8. Gestión Logistica</t>
  </si>
  <si>
    <t>P9. Mantenimiento y control de Equipo</t>
  </si>
  <si>
    <t>P10. Control de Calidad</t>
  </si>
  <si>
    <t>P11. Gestión Financiera</t>
  </si>
  <si>
    <t>Inducción de Personal</t>
  </si>
  <si>
    <t>Efectos</t>
  </si>
  <si>
    <t>El personal no logro entender en su totalidad los temas abordados en el proceso de inducción</t>
  </si>
  <si>
    <t>Prendas defectuosas, queja de cliente</t>
  </si>
  <si>
    <t>Cumplir con el tiempo de Inducción (20min)</t>
  </si>
  <si>
    <t>Eliminar el Riesgo</t>
  </si>
  <si>
    <t>Realizar de forma periodica la toma de conciencia a los trabajadores</t>
  </si>
  <si>
    <t>Revisión del indice de salidas no conformes</t>
  </si>
  <si>
    <t>Calculo</t>
  </si>
  <si>
    <t>Creacion de patrones o piezas</t>
  </si>
  <si>
    <t>Escalonado de los patrones</t>
  </si>
  <si>
    <t>Elaboración de la Contramuestra (prototipo)</t>
  </si>
  <si>
    <t>Generacion de la ficha</t>
  </si>
  <si>
    <t>Partes interesadas</t>
  </si>
  <si>
    <t>Descripcion (Riesgo / Oportunidad)</t>
  </si>
  <si>
    <t>Calidad del Producto (SGC)</t>
  </si>
  <si>
    <t>Cumplimiento de entrega
(SGC)</t>
  </si>
  <si>
    <t>Exceso de recursos
(SGC)</t>
  </si>
  <si>
    <t>Controles Operativos
(SGC)</t>
  </si>
  <si>
    <t>Afectación a trabajadores
(SGSST)</t>
  </si>
  <si>
    <t>Estrategia (Acciones Adicionales)</t>
  </si>
  <si>
    <t>Charla o Capacitación en cuanto a la interpretación de la ficha tecnica</t>
  </si>
  <si>
    <t>Documentar las necesidades como resultado de las reuniones</t>
  </si>
  <si>
    <t>Comunicar al cliente y solicitar ampliación de plazo de entrega</t>
  </si>
  <si>
    <t>-Charla o Capacitación periodicas sobre el uso de herramientas y maquinarias
-Inspecciones regulares</t>
  </si>
  <si>
    <t>*Establecer programa de Toma de conciencia sobre la importancia de la actividad por prenda
*Publicar los lineamientos dentro de las instalaciones</t>
  </si>
  <si>
    <t>*Establecer como lineamiento la confirmación mediante correo electronico o whattsapp los requerimiento del cliente.</t>
  </si>
  <si>
    <t>*Establecer como lineamiento mediante correo electronico o whattsapp los requerimiento del cliente.</t>
  </si>
  <si>
    <t>*Establecer programa de toma de conciencia sobre la importancia de la actividad
*Publicar los lineamientos dentro de las instalaciones</t>
  </si>
  <si>
    <t>*Establecer como lineamiento la Evaluación al proveedor</t>
  </si>
  <si>
    <t>-Verificación del cumplimiento del programa de toma de conciencia
-Verificación de la publicacion de los lineamientos</t>
  </si>
  <si>
    <t>*Establecer el lineamiento de Documentar los terminos empleados por los clientes.</t>
  </si>
  <si>
    <t>-Verificación de la implementación de los lineamientos y sus resultados</t>
  </si>
  <si>
    <t>-Verificación de la implementación de los lineamientos y sus resultados
-Verificación de la publicacion de los lineamientos</t>
  </si>
  <si>
    <t>FRECUENCIA DE SEGUIMIENTO</t>
  </si>
  <si>
    <t>*Verificación por parte del responsable que genera el patron (Analista de patronaje y diseño)</t>
  </si>
  <si>
    <t>Cada vez que se realiza un nuevo diseño o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</si>
</sst>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17" fontId="1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1938617</xdr:colOff>
      <xdr:row>1</xdr:row>
      <xdr:rowOff>87661</xdr:rowOff>
    </xdr:from>
    <xdr:to>
      <xdr:col>17</xdr:col>
      <xdr:colOff>380998</xdr:colOff>
      <xdr:row>7</xdr:row>
      <xdr:rowOff>40218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082373A-69F3-4378-80EB-9896802551B9}"/>
            </a:ext>
          </a:extLst>
        </xdr:cNvPr>
        <xdr:cNvGrpSpPr/>
      </xdr:nvGrpSpPr>
      <xdr:grpSpPr>
        <a:xfrm>
          <a:off x="9950823" y="244543"/>
          <a:ext cx="12248028" cy="893851"/>
          <a:chOff x="829099" y="70945"/>
          <a:chExt cx="7102656" cy="1090824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DB1E31E-65EB-45D1-AAD3-4CBD2FF9ED12}"/>
              </a:ext>
            </a:extLst>
          </xdr:cNvPr>
          <xdr:cNvSpPr txBox="1"/>
        </xdr:nvSpPr>
        <xdr:spPr>
          <a:xfrm>
            <a:off x="6289515" y="855091"/>
            <a:ext cx="1530569" cy="28697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0"/>
          <a:lstStyle/>
          <a:p>
            <a:pPr algn="ctr"/>
            <a:r>
              <a:rPr lang="es-PE" sz="1000">
                <a:latin typeface="Arial" panose="020B0604020202020204" pitchFamily="34" charset="0"/>
                <a:cs typeface="Arial" panose="020B0604020202020204" pitchFamily="34" charset="0"/>
              </a:rPr>
              <a:t>03/08/2021</a:t>
            </a:r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8E499277-305C-44B3-8BF2-95E9BC4CC75E}"/>
              </a:ext>
            </a:extLst>
          </xdr:cNvPr>
          <xdr:cNvGrpSpPr/>
        </xdr:nvGrpSpPr>
        <xdr:grpSpPr>
          <a:xfrm>
            <a:off x="829099" y="70945"/>
            <a:ext cx="7102656" cy="1090824"/>
            <a:chOff x="829099" y="70945"/>
            <a:chExt cx="7102656" cy="1090824"/>
          </a:xfrm>
        </xdr:grpSpPr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0CD9FE75-7FB2-408A-9FC9-9335784EED6C}"/>
                </a:ext>
              </a:extLst>
            </xdr:cNvPr>
            <xdr:cNvSpPr txBox="1"/>
          </xdr:nvSpPr>
          <xdr:spPr>
            <a:xfrm>
              <a:off x="6302653" y="97220"/>
              <a:ext cx="1530569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PD-DOC-008</a:t>
              </a:r>
            </a:p>
          </xdr:txBody>
        </xdr:sp>
        <xdr:sp macro="" textlink="">
          <xdr:nvSpPr>
            <xdr:cNvPr id="6" name="Rectángulo: esquinas redondeadas 5">
              <a:extLst>
                <a:ext uri="{FF2B5EF4-FFF2-40B4-BE49-F238E27FC236}">
                  <a16:creationId xmlns:a16="http://schemas.microsoft.com/office/drawing/2014/main" id="{8215F9AE-978C-4446-A3F9-00DBCC1AC059}"/>
                </a:ext>
              </a:extLst>
            </xdr:cNvPr>
            <xdr:cNvSpPr/>
          </xdr:nvSpPr>
          <xdr:spPr>
            <a:xfrm>
              <a:off x="6250102" y="130066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7" name="Rectángulo: esquinas redondeadas 6">
              <a:extLst>
                <a:ext uri="{FF2B5EF4-FFF2-40B4-BE49-F238E27FC236}">
                  <a16:creationId xmlns:a16="http://schemas.microsoft.com/office/drawing/2014/main" id="{598C4F97-E9EC-4135-AEEE-908E1BDCA8E4}"/>
                </a:ext>
              </a:extLst>
            </xdr:cNvPr>
            <xdr:cNvSpPr/>
          </xdr:nvSpPr>
          <xdr:spPr>
            <a:xfrm>
              <a:off x="5323876" y="70945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8" name="Rectángulo: esquinas redondeadas 7">
              <a:extLst>
                <a:ext uri="{FF2B5EF4-FFF2-40B4-BE49-F238E27FC236}">
                  <a16:creationId xmlns:a16="http://schemas.microsoft.com/office/drawing/2014/main" id="{8C524E70-600C-4BF8-9CB6-660ED21AD8BA}"/>
                </a:ext>
              </a:extLst>
            </xdr:cNvPr>
            <xdr:cNvSpPr/>
          </xdr:nvSpPr>
          <xdr:spPr>
            <a:xfrm>
              <a:off x="5323876" y="449881"/>
              <a:ext cx="2607879" cy="332951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9" name="Rectángulo: esquinas redondeadas 8">
              <a:extLst>
                <a:ext uri="{FF2B5EF4-FFF2-40B4-BE49-F238E27FC236}">
                  <a16:creationId xmlns:a16="http://schemas.microsoft.com/office/drawing/2014/main" id="{DD21B731-8AD5-48CC-B428-2CBA45575848}"/>
                </a:ext>
              </a:extLst>
            </xdr:cNvPr>
            <xdr:cNvSpPr/>
          </xdr:nvSpPr>
          <xdr:spPr>
            <a:xfrm>
              <a:off x="5323876" y="828817"/>
              <a:ext cx="2607879" cy="332952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677927C7-1650-49D6-8CA1-58A034073B0A}"/>
                </a:ext>
              </a:extLst>
            </xdr:cNvPr>
            <xdr:cNvSpPr txBox="1"/>
          </xdr:nvSpPr>
          <xdr:spPr>
            <a:xfrm>
              <a:off x="5396136" y="90651"/>
              <a:ext cx="729155" cy="29128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Código:</a:t>
              </a:r>
            </a:p>
          </xdr:txBody>
        </xdr:sp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8DD728CE-CB5B-4FE9-8DF0-3A933861FAA2}"/>
                </a:ext>
              </a:extLst>
            </xdr:cNvPr>
            <xdr:cNvSpPr txBox="1"/>
          </xdr:nvSpPr>
          <xdr:spPr>
            <a:xfrm>
              <a:off x="5369860" y="469587"/>
              <a:ext cx="775138" cy="29160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Versión:</a:t>
              </a:r>
            </a:p>
          </xdr:txBody>
        </xdr:sp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6B2EBF8A-349B-41B4-A740-F3187ACFAC5B}"/>
                </a:ext>
              </a:extLst>
            </xdr:cNvPr>
            <xdr:cNvSpPr txBox="1"/>
          </xdr:nvSpPr>
          <xdr:spPr>
            <a:xfrm>
              <a:off x="5376429" y="848522"/>
              <a:ext cx="762000" cy="28697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F.</a:t>
              </a:r>
              <a:r>
                <a:rPr lang="es-PE" sz="1000" baseline="0">
                  <a:latin typeface="Arial" panose="020B0604020202020204" pitchFamily="34" charset="0"/>
                  <a:cs typeface="Arial" panose="020B0604020202020204" pitchFamily="34" charset="0"/>
                </a:rPr>
                <a:t> Aprob.</a:t>
              </a:r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:</a:t>
              </a:r>
            </a:p>
          </xdr:txBody>
        </xdr:sp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3A50415-F06D-4DDA-98C0-0B4FC0632DFF}"/>
                </a:ext>
              </a:extLst>
            </xdr:cNvPr>
            <xdr:cNvSpPr txBox="1"/>
          </xdr:nvSpPr>
          <xdr:spPr>
            <a:xfrm>
              <a:off x="6296084" y="482725"/>
              <a:ext cx="1530569" cy="28696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000">
                  <a:latin typeface="Arial" panose="020B0604020202020204" pitchFamily="34" charset="0"/>
                  <a:cs typeface="Arial" panose="020B0604020202020204" pitchFamily="34" charset="0"/>
                </a:rPr>
                <a:t>001</a:t>
              </a:r>
            </a:p>
          </xdr:txBody>
        </xdr:sp>
        <xdr:sp macro="" textlink="">
          <xdr:nvSpPr>
            <xdr:cNvPr id="14" name="Rectángulo: esquinas redondeadas 13">
              <a:extLst>
                <a:ext uri="{FF2B5EF4-FFF2-40B4-BE49-F238E27FC236}">
                  <a16:creationId xmlns:a16="http://schemas.microsoft.com/office/drawing/2014/main" id="{DE79ED5F-29E0-4BD7-947F-70BA51FA34AE}"/>
                </a:ext>
              </a:extLst>
            </xdr:cNvPr>
            <xdr:cNvSpPr/>
          </xdr:nvSpPr>
          <xdr:spPr>
            <a:xfrm>
              <a:off x="6243533" y="515571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5" name="Rectángulo: esquinas redondeadas 14">
              <a:extLst>
                <a:ext uri="{FF2B5EF4-FFF2-40B4-BE49-F238E27FC236}">
                  <a16:creationId xmlns:a16="http://schemas.microsoft.com/office/drawing/2014/main" id="{4F755D43-A4D4-432D-A19E-E02DB447CFF7}"/>
                </a:ext>
              </a:extLst>
            </xdr:cNvPr>
            <xdr:cNvSpPr/>
          </xdr:nvSpPr>
          <xdr:spPr>
            <a:xfrm>
              <a:off x="6248172" y="887937"/>
              <a:ext cx="1622534" cy="212459"/>
            </a:xfrm>
            <a:prstGeom prst="roundRect">
              <a:avLst/>
            </a:prstGeom>
            <a:noFill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s-PE" sz="1100"/>
            </a:p>
          </xdr:txBody>
        </xdr:sp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DC21614C-3DAA-4D4F-A803-A7627CBE4270}"/>
                </a:ext>
              </a:extLst>
            </xdr:cNvPr>
            <xdr:cNvSpPr txBox="1"/>
          </xdr:nvSpPr>
          <xdr:spPr>
            <a:xfrm>
              <a:off x="2146160" y="82924"/>
              <a:ext cx="3133620" cy="107768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r>
                <a:rPr lang="es-PE" sz="1200" b="1">
                  <a:latin typeface="Arial" panose="020B0604020202020204" pitchFamily="34" charset="0"/>
                  <a:cs typeface="Arial" panose="020B0604020202020204" pitchFamily="34" charset="0"/>
                </a:rPr>
                <a:t>MATRIZ RIESGOS</a:t>
              </a:r>
              <a:r>
                <a:rPr lang="es-PE" sz="1200" b="1" baseline="0">
                  <a:latin typeface="Arial" panose="020B0604020202020204" pitchFamily="34" charset="0"/>
                  <a:cs typeface="Arial" panose="020B0604020202020204" pitchFamily="34" charset="0"/>
                </a:rPr>
                <a:t> Y OPORTUNIDADES</a:t>
              </a:r>
              <a:endParaRPr lang="es-PE" sz="12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7" name="Imagen 16">
              <a:extLst>
                <a:ext uri="{FF2B5EF4-FFF2-40B4-BE49-F238E27FC236}">
                  <a16:creationId xmlns:a16="http://schemas.microsoft.com/office/drawing/2014/main" id="{7D85FD9D-F76D-419D-80B1-442FF1673AB2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29099" y="133501"/>
              <a:ext cx="1120700" cy="908912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"/>
  <sheetViews>
    <sheetView tabSelected="1" topLeftCell="Q1" zoomScale="85" zoomScaleNormal="85" workbookViewId="0">
      <selection activeCell="R4" sqref="R4"/>
    </sheetView>
  </sheetViews>
  <sheetFormatPr baseColWidth="10" defaultRowHeight="12.75" x14ac:dyDescent="0.25"/>
  <cols>
    <col min="1" max="1" width="8" style="12" bestFit="1" customWidth="1"/>
    <col min="2" max="2" width="16.85546875" style="12" customWidth="1"/>
    <col min="3" max="3" width="18.28515625" style="12" customWidth="1"/>
    <col min="4" max="4" width="10.42578125" style="13" customWidth="1"/>
    <col min="5" max="5" width="8.7109375" style="4" bestFit="1" customWidth="1"/>
    <col min="6" max="6" width="12.5703125" style="13" customWidth="1"/>
    <col min="7" max="7" width="45.28515625" style="4" customWidth="1"/>
    <col min="8" max="8" width="40.140625" style="4" customWidth="1"/>
    <col min="9" max="9" width="12.28515625" style="4" customWidth="1"/>
    <col min="10" max="12" width="12.140625" style="4" customWidth="1"/>
    <col min="13" max="15" width="12.28515625" style="4" customWidth="1"/>
    <col min="16" max="16" width="44.85546875" style="4" customWidth="1"/>
    <col min="17" max="17" width="36.5703125" style="4" customWidth="1"/>
    <col min="18" max="18" width="58.7109375" style="4" bestFit="1" customWidth="1"/>
    <col min="19" max="19" width="12.140625" style="4" customWidth="1"/>
    <col min="20" max="20" width="12.28515625" style="4" customWidth="1"/>
    <col min="21" max="22" width="47.42578125" style="4" customWidth="1"/>
    <col min="23" max="16384" width="11.42578125" style="4"/>
  </cols>
  <sheetData>
    <row r="1" spans="1:22" x14ac:dyDescent="0.25">
      <c r="A1" s="1"/>
      <c r="B1" s="1"/>
      <c r="C1" s="1"/>
      <c r="D1" s="2"/>
      <c r="E1" s="3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5">
      <c r="A2" s="1"/>
      <c r="B2" s="1"/>
      <c r="C2" s="1"/>
      <c r="D2" s="2"/>
      <c r="E2" s="3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1"/>
      <c r="B3" s="1"/>
      <c r="C3" s="1"/>
      <c r="D3" s="2"/>
      <c r="E3" s="3"/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x14ac:dyDescent="0.25">
      <c r="A4" s="1"/>
      <c r="B4" s="1"/>
      <c r="C4" s="1"/>
      <c r="D4" s="2"/>
      <c r="E4" s="3"/>
      <c r="F4" s="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x14ac:dyDescent="0.25">
      <c r="A5" s="1"/>
      <c r="B5" s="1"/>
      <c r="C5" s="1"/>
      <c r="D5" s="2"/>
      <c r="E5" s="3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1"/>
      <c r="B6" s="1"/>
      <c r="C6" s="1"/>
      <c r="D6" s="2"/>
      <c r="E6" s="3"/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1"/>
      <c r="B7" s="1"/>
      <c r="C7" s="1"/>
      <c r="D7" s="5"/>
      <c r="E7" s="3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x14ac:dyDescent="0.25">
      <c r="A8" s="1"/>
      <c r="B8" s="1"/>
      <c r="C8" s="1"/>
      <c r="D8" s="2"/>
      <c r="E8" s="3"/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5">
      <c r="A9" s="1"/>
      <c r="B9" s="1"/>
      <c r="C9" s="1"/>
      <c r="D9" s="2"/>
      <c r="E9" s="3"/>
      <c r="F9" s="2"/>
      <c r="G9" s="3"/>
      <c r="H9" s="3"/>
      <c r="I9" s="21" t="s">
        <v>130</v>
      </c>
      <c r="J9" s="22"/>
      <c r="K9" s="22"/>
      <c r="L9" s="22"/>
      <c r="M9" s="22"/>
      <c r="N9" s="22"/>
      <c r="O9" s="23"/>
      <c r="P9" s="3"/>
      <c r="Q9" s="20" t="s">
        <v>112</v>
      </c>
      <c r="R9" s="20"/>
      <c r="S9" s="20"/>
      <c r="T9" s="20"/>
      <c r="U9" s="20"/>
      <c r="V9" s="20"/>
    </row>
    <row r="10" spans="1:22" ht="51" x14ac:dyDescent="0.25">
      <c r="A10" s="6" t="s">
        <v>99</v>
      </c>
      <c r="B10" s="6" t="s">
        <v>0</v>
      </c>
      <c r="C10" s="6" t="s">
        <v>31</v>
      </c>
      <c r="D10" s="6" t="s">
        <v>96</v>
      </c>
      <c r="E10" s="6" t="s">
        <v>93</v>
      </c>
      <c r="F10" s="6" t="s">
        <v>100</v>
      </c>
      <c r="G10" s="6" t="s">
        <v>153</v>
      </c>
      <c r="H10" s="6" t="s">
        <v>140</v>
      </c>
      <c r="I10" s="6" t="s">
        <v>154</v>
      </c>
      <c r="J10" s="6" t="s">
        <v>155</v>
      </c>
      <c r="K10" s="6" t="s">
        <v>156</v>
      </c>
      <c r="L10" s="6" t="s">
        <v>157</v>
      </c>
      <c r="M10" s="6" t="s">
        <v>158</v>
      </c>
      <c r="N10" s="6" t="s">
        <v>147</v>
      </c>
      <c r="O10" s="6" t="s">
        <v>129</v>
      </c>
      <c r="P10" s="6" t="s">
        <v>110</v>
      </c>
      <c r="Q10" s="6" t="s">
        <v>159</v>
      </c>
      <c r="R10" s="6" t="s">
        <v>111</v>
      </c>
      <c r="S10" s="6" t="s">
        <v>113</v>
      </c>
      <c r="T10" s="6" t="s">
        <v>114</v>
      </c>
      <c r="U10" s="6" t="s">
        <v>1</v>
      </c>
      <c r="V10" s="6" t="s">
        <v>173</v>
      </c>
    </row>
    <row r="11" spans="1:22" ht="38.25" x14ac:dyDescent="0.25">
      <c r="A11" s="7" t="str">
        <f>IF(E11="R","R-"&amp;TEXT(COUNTIF($E$11:E11,"R"),"000"),IF(E11="O","O-"&amp;TEXT(COUNTIF($E$11:E11,"O"),"000"),"-"))</f>
        <v>R-001</v>
      </c>
      <c r="B11" s="14" t="s">
        <v>104</v>
      </c>
      <c r="C11" s="7" t="s">
        <v>148</v>
      </c>
      <c r="D11" s="7" t="s">
        <v>98</v>
      </c>
      <c r="E11" s="7" t="s">
        <v>91</v>
      </c>
      <c r="F11" s="7" t="s">
        <v>152</v>
      </c>
      <c r="G11" s="7" t="s">
        <v>2</v>
      </c>
      <c r="H11" s="7" t="s">
        <v>3</v>
      </c>
      <c r="I11" s="7">
        <v>3</v>
      </c>
      <c r="J11" s="7">
        <v>3</v>
      </c>
      <c r="K11" s="7">
        <v>3</v>
      </c>
      <c r="L11" s="7">
        <v>1</v>
      </c>
      <c r="M11" s="7">
        <v>1</v>
      </c>
      <c r="N11" s="7">
        <f>I11+J11+K11+L11+M11</f>
        <v>11</v>
      </c>
      <c r="O11" s="7" t="str">
        <f>IF(N11&gt;=12,"ALTA",IF(AND(N11&gt;=6,N11&lt;12),"MEDIO","BAJO"))</f>
        <v>MEDIO</v>
      </c>
      <c r="P11" s="7" t="s">
        <v>174</v>
      </c>
      <c r="Q11" s="7"/>
      <c r="R11" s="7" t="s">
        <v>164</v>
      </c>
      <c r="S11" s="17">
        <v>44470</v>
      </c>
      <c r="T11" s="17">
        <v>44501</v>
      </c>
      <c r="U11" s="7" t="s">
        <v>15</v>
      </c>
      <c r="V11" s="7" t="s">
        <v>175</v>
      </c>
    </row>
    <row r="12" spans="1:22" ht="38.25" x14ac:dyDescent="0.25">
      <c r="A12" s="7" t="str">
        <f>IF(E12="R","R-"&amp;TEXT(COUNTIF($E$11:E12,"R"),"000"),IF(E12="O","O-"&amp;TEXT(COUNTIF($E$11:E12,"O"),"000"),"-"))</f>
        <v>R-002</v>
      </c>
      <c r="B12" s="14" t="s">
        <v>104</v>
      </c>
      <c r="C12" s="7" t="s">
        <v>148</v>
      </c>
      <c r="D12" s="7" t="s">
        <v>98</v>
      </c>
      <c r="E12" s="7" t="s">
        <v>91</v>
      </c>
      <c r="F12" s="7" t="s">
        <v>152</v>
      </c>
      <c r="G12" s="7" t="s">
        <v>4</v>
      </c>
      <c r="H12" s="7" t="s">
        <v>8</v>
      </c>
      <c r="I12" s="7">
        <v>3</v>
      </c>
      <c r="J12" s="7">
        <v>3</v>
      </c>
      <c r="K12" s="7">
        <v>3</v>
      </c>
      <c r="L12" s="7">
        <v>1</v>
      </c>
      <c r="M12" s="7">
        <v>1</v>
      </c>
      <c r="N12" s="7">
        <f t="shared" ref="N12:N39" si="0">I12+J12+K12+L12+M12</f>
        <v>11</v>
      </c>
      <c r="O12" s="7" t="str">
        <f t="shared" ref="O12:O39" si="1">IF(N12&gt;=12,"ALTA",IF(AND(N12&gt;=6,N12&lt;12),"MEDIO","BAJO"))</f>
        <v>MEDIO</v>
      </c>
      <c r="P12" s="7" t="s">
        <v>95</v>
      </c>
      <c r="Q12" s="7"/>
      <c r="R12" s="7" t="s">
        <v>12</v>
      </c>
      <c r="S12" s="17">
        <v>44470</v>
      </c>
      <c r="T12" s="17">
        <v>44501</v>
      </c>
      <c r="U12" s="7" t="s">
        <v>18</v>
      </c>
      <c r="V12" s="7"/>
    </row>
    <row r="13" spans="1:22" ht="25.5" x14ac:dyDescent="0.25">
      <c r="A13" s="7" t="str">
        <f>IF(E13="R","R-"&amp;TEXT(COUNTIF($E$11:E13,"R"),"000"),IF(E13="O","O-"&amp;TEXT(COUNTIF($E$11:E13,"O"),"000"),"-"))</f>
        <v>R-003</v>
      </c>
      <c r="B13" s="14" t="s">
        <v>104</v>
      </c>
      <c r="C13" s="7" t="s">
        <v>149</v>
      </c>
      <c r="D13" s="7" t="s">
        <v>98</v>
      </c>
      <c r="E13" s="7" t="s">
        <v>91</v>
      </c>
      <c r="F13" s="7" t="s">
        <v>152</v>
      </c>
      <c r="G13" s="7" t="s">
        <v>5</v>
      </c>
      <c r="H13" s="7" t="s">
        <v>9</v>
      </c>
      <c r="I13" s="7">
        <v>3</v>
      </c>
      <c r="J13" s="7">
        <v>3</v>
      </c>
      <c r="K13" s="7">
        <v>3</v>
      </c>
      <c r="L13" s="7">
        <v>1</v>
      </c>
      <c r="M13" s="7">
        <v>1</v>
      </c>
      <c r="N13" s="7">
        <f t="shared" si="0"/>
        <v>11</v>
      </c>
      <c r="O13" s="7" t="str">
        <f t="shared" si="1"/>
        <v>MEDIO</v>
      </c>
      <c r="P13" s="7" t="s">
        <v>13</v>
      </c>
      <c r="Q13" s="7"/>
      <c r="R13" s="7" t="s">
        <v>165</v>
      </c>
      <c r="S13" s="17">
        <v>44470</v>
      </c>
      <c r="T13" s="17">
        <v>44501</v>
      </c>
      <c r="U13" s="7" t="s">
        <v>19</v>
      </c>
      <c r="V13" s="7"/>
    </row>
    <row r="14" spans="1:22" ht="38.25" x14ac:dyDescent="0.25">
      <c r="A14" s="7" t="str">
        <f>IF(E14="R","R-"&amp;TEXT(COUNTIF($E$11:E14,"R"),"000"),IF(E14="O","O-"&amp;TEXT(COUNTIF($E$11:E14,"O"),"000"),"-"))</f>
        <v>R-004</v>
      </c>
      <c r="B14" s="14" t="s">
        <v>104</v>
      </c>
      <c r="C14" s="7" t="s">
        <v>150</v>
      </c>
      <c r="D14" s="7" t="s">
        <v>98</v>
      </c>
      <c r="E14" s="7" t="s">
        <v>91</v>
      </c>
      <c r="F14" s="7" t="s">
        <v>152</v>
      </c>
      <c r="G14" s="7" t="s">
        <v>7</v>
      </c>
      <c r="H14" s="7" t="s">
        <v>6</v>
      </c>
      <c r="I14" s="7">
        <v>3</v>
      </c>
      <c r="J14" s="7">
        <v>3</v>
      </c>
      <c r="K14" s="7">
        <v>3</v>
      </c>
      <c r="L14" s="7">
        <v>1</v>
      </c>
      <c r="M14" s="7">
        <v>1</v>
      </c>
      <c r="N14" s="7">
        <f t="shared" si="0"/>
        <v>11</v>
      </c>
      <c r="O14" s="7" t="str">
        <f t="shared" si="1"/>
        <v>MEDIO</v>
      </c>
      <c r="P14" s="7" t="s">
        <v>13</v>
      </c>
      <c r="Q14" s="7"/>
      <c r="R14" s="7" t="s">
        <v>166</v>
      </c>
      <c r="S14" s="17">
        <v>44470</v>
      </c>
      <c r="T14" s="17">
        <v>44501</v>
      </c>
      <c r="U14" s="7" t="s">
        <v>19</v>
      </c>
      <c r="V14" s="7"/>
    </row>
    <row r="15" spans="1:22" ht="38.25" x14ac:dyDescent="0.25">
      <c r="A15" s="7" t="str">
        <f>IF(E15="R","R-"&amp;TEXT(COUNTIF($E$11:E15,"R"),"000"),IF(E15="O","O-"&amp;TEXT(COUNTIF($E$11:E15,"O"),"000"),"-"))</f>
        <v>O-001</v>
      </c>
      <c r="B15" s="14" t="s">
        <v>104</v>
      </c>
      <c r="C15" s="7" t="s">
        <v>150</v>
      </c>
      <c r="D15" s="7" t="s">
        <v>98</v>
      </c>
      <c r="E15" s="7" t="s">
        <v>94</v>
      </c>
      <c r="F15" s="7" t="s">
        <v>152</v>
      </c>
      <c r="G15" s="7" t="s">
        <v>10</v>
      </c>
      <c r="H15" s="7" t="s">
        <v>11</v>
      </c>
      <c r="I15" s="7" t="s">
        <v>92</v>
      </c>
      <c r="J15" s="7" t="s">
        <v>92</v>
      </c>
      <c r="K15" s="7" t="s">
        <v>92</v>
      </c>
      <c r="L15" s="7" t="s">
        <v>92</v>
      </c>
      <c r="M15" s="7" t="s">
        <v>92</v>
      </c>
      <c r="N15" s="7" t="s">
        <v>92</v>
      </c>
      <c r="O15" s="7" t="s">
        <v>92</v>
      </c>
      <c r="P15" s="7" t="s">
        <v>92</v>
      </c>
      <c r="Q15" s="7"/>
      <c r="R15" s="7" t="s">
        <v>14</v>
      </c>
      <c r="S15" s="7"/>
      <c r="T15" s="7"/>
      <c r="U15" s="7" t="s">
        <v>20</v>
      </c>
      <c r="V15" s="7"/>
    </row>
    <row r="16" spans="1:22" ht="38.25" x14ac:dyDescent="0.25">
      <c r="A16" s="7" t="str">
        <f>IF(E16="R","R-"&amp;TEXT(COUNTIF($E$11:E16,"R"),"000"),IF(E16="O","O-"&amp;TEXT(COUNTIF($E$11:E16,"O"),"000"),"-"))</f>
        <v>R-005</v>
      </c>
      <c r="B16" s="14" t="s">
        <v>104</v>
      </c>
      <c r="C16" s="7" t="s">
        <v>151</v>
      </c>
      <c r="D16" s="7" t="s">
        <v>98</v>
      </c>
      <c r="E16" s="7" t="s">
        <v>91</v>
      </c>
      <c r="F16" s="7" t="s">
        <v>152</v>
      </c>
      <c r="G16" s="7" t="s">
        <v>16</v>
      </c>
      <c r="H16" s="7" t="s">
        <v>17</v>
      </c>
      <c r="I16" s="7">
        <v>3</v>
      </c>
      <c r="J16" s="7">
        <v>3</v>
      </c>
      <c r="K16" s="7">
        <v>3</v>
      </c>
      <c r="L16" s="7">
        <v>1</v>
      </c>
      <c r="M16" s="7">
        <v>1</v>
      </c>
      <c r="N16" s="7">
        <f t="shared" si="0"/>
        <v>11</v>
      </c>
      <c r="O16" s="7" t="str">
        <f t="shared" si="1"/>
        <v>MEDIO</v>
      </c>
      <c r="P16" s="7" t="s">
        <v>24</v>
      </c>
      <c r="Q16" s="7"/>
      <c r="R16" s="7" t="s">
        <v>22</v>
      </c>
      <c r="S16" s="17">
        <v>44470</v>
      </c>
      <c r="T16" s="17">
        <v>44501</v>
      </c>
      <c r="U16" s="7" t="s">
        <v>21</v>
      </c>
      <c r="V16" s="7"/>
    </row>
    <row r="17" spans="1:22" ht="38.25" x14ac:dyDescent="0.25">
      <c r="A17" s="8" t="str">
        <f>IF(E17="R","R-"&amp;TEXT(COUNTIF($E$11:E17,"R"),"000"),IF(E17="O","O-"&amp;TEXT(COUNTIF($E$11:E17,"O"),"000"),"-"))</f>
        <v>R-006</v>
      </c>
      <c r="B17" s="15" t="s">
        <v>105</v>
      </c>
      <c r="C17" s="8" t="s">
        <v>32</v>
      </c>
      <c r="D17" s="8" t="s">
        <v>98</v>
      </c>
      <c r="E17" s="8" t="s">
        <v>91</v>
      </c>
      <c r="F17" s="8" t="s">
        <v>152</v>
      </c>
      <c r="G17" s="8" t="s">
        <v>25</v>
      </c>
      <c r="H17" s="8" t="s">
        <v>37</v>
      </c>
      <c r="I17" s="8">
        <v>2</v>
      </c>
      <c r="J17" s="8">
        <v>3</v>
      </c>
      <c r="K17" s="8">
        <v>3</v>
      </c>
      <c r="L17" s="8">
        <v>1</v>
      </c>
      <c r="M17" s="8">
        <v>1</v>
      </c>
      <c r="N17" s="7">
        <f t="shared" si="0"/>
        <v>10</v>
      </c>
      <c r="O17" s="8" t="str">
        <f t="shared" si="1"/>
        <v>MEDIO</v>
      </c>
      <c r="P17" s="8" t="s">
        <v>26</v>
      </c>
      <c r="Q17" s="8"/>
      <c r="R17" s="8" t="s">
        <v>167</v>
      </c>
      <c r="S17" s="19">
        <v>44470</v>
      </c>
      <c r="T17" s="19">
        <v>44501</v>
      </c>
      <c r="U17" s="16" t="s">
        <v>169</v>
      </c>
      <c r="V17" s="16"/>
    </row>
    <row r="18" spans="1:22" ht="38.25" x14ac:dyDescent="0.25">
      <c r="A18" s="8" t="str">
        <f>IF(E18="R","R-"&amp;TEXT(COUNTIF($E$11:E18,"R"),"000"),IF(E18="O","O-"&amp;TEXT(COUNTIF($E$11:E18,"O"),"000"),"-"))</f>
        <v>R-007</v>
      </c>
      <c r="B18" s="15" t="s">
        <v>105</v>
      </c>
      <c r="C18" s="8" t="s">
        <v>32</v>
      </c>
      <c r="D18" s="8" t="s">
        <v>98</v>
      </c>
      <c r="E18" s="8" t="s">
        <v>91</v>
      </c>
      <c r="F18" s="8" t="s">
        <v>152</v>
      </c>
      <c r="G18" s="8" t="s">
        <v>28</v>
      </c>
      <c r="H18" s="8" t="s">
        <v>36</v>
      </c>
      <c r="I18" s="8">
        <v>3</v>
      </c>
      <c r="J18" s="8">
        <v>3</v>
      </c>
      <c r="K18" s="8">
        <v>3</v>
      </c>
      <c r="L18" s="8">
        <v>1</v>
      </c>
      <c r="M18" s="8">
        <v>1</v>
      </c>
      <c r="N18" s="7">
        <f t="shared" si="0"/>
        <v>11</v>
      </c>
      <c r="O18" s="8" t="str">
        <f t="shared" si="1"/>
        <v>MEDIO</v>
      </c>
      <c r="P18" s="8" t="s">
        <v>29</v>
      </c>
      <c r="Q18" s="8"/>
      <c r="R18" s="8" t="s">
        <v>27</v>
      </c>
      <c r="S18" s="19">
        <v>44470</v>
      </c>
      <c r="T18" s="19">
        <v>44501</v>
      </c>
      <c r="U18" s="16" t="s">
        <v>169</v>
      </c>
      <c r="V18" s="16"/>
    </row>
    <row r="19" spans="1:22" ht="36" customHeight="1" x14ac:dyDescent="0.25">
      <c r="A19" s="8" t="str">
        <f>IF(E19="R","R-"&amp;TEXT(COUNTIF($E$11:E19,"R"),"000"),IF(E19="O","O-"&amp;TEXT(COUNTIF($E$11:E19,"O"),"000"),"-"))</f>
        <v>R-008</v>
      </c>
      <c r="B19" s="15" t="s">
        <v>105</v>
      </c>
      <c r="C19" s="8" t="s">
        <v>33</v>
      </c>
      <c r="D19" s="8" t="s">
        <v>98</v>
      </c>
      <c r="E19" s="8" t="s">
        <v>91</v>
      </c>
      <c r="F19" s="8" t="s">
        <v>152</v>
      </c>
      <c r="G19" s="8" t="s">
        <v>30</v>
      </c>
      <c r="H19" s="8" t="s">
        <v>35</v>
      </c>
      <c r="I19" s="8">
        <v>3</v>
      </c>
      <c r="J19" s="8">
        <v>3</v>
      </c>
      <c r="K19" s="8">
        <v>3</v>
      </c>
      <c r="L19" s="8">
        <v>1</v>
      </c>
      <c r="M19" s="8">
        <v>1</v>
      </c>
      <c r="N19" s="7">
        <f t="shared" si="0"/>
        <v>11</v>
      </c>
      <c r="O19" s="8" t="str">
        <f t="shared" si="1"/>
        <v>MEDIO</v>
      </c>
      <c r="P19" s="8" t="s">
        <v>92</v>
      </c>
      <c r="Q19" s="8" t="s">
        <v>160</v>
      </c>
      <c r="R19" s="8" t="s">
        <v>27</v>
      </c>
      <c r="S19" s="19">
        <v>44470</v>
      </c>
      <c r="T19" s="19">
        <v>44501</v>
      </c>
      <c r="U19" s="16" t="s">
        <v>169</v>
      </c>
      <c r="V19" s="16"/>
    </row>
    <row r="20" spans="1:22" ht="25.5" x14ac:dyDescent="0.25">
      <c r="A20" s="8" t="str">
        <f>IF(E20="R","R-"&amp;TEXT(COUNTIF($E$11:E20,"R"),"000"),IF(E20="O","O-"&amp;TEXT(COUNTIF($E$11:E20,"O"),"000"),"-"))</f>
        <v>-</v>
      </c>
      <c r="B20" s="15" t="s">
        <v>105</v>
      </c>
      <c r="C20" s="8" t="s">
        <v>34</v>
      </c>
      <c r="D20" s="8" t="s">
        <v>98</v>
      </c>
      <c r="E20" s="8" t="s">
        <v>92</v>
      </c>
      <c r="F20" s="8" t="s">
        <v>92</v>
      </c>
      <c r="G20" s="8" t="s">
        <v>92</v>
      </c>
      <c r="H20" s="8" t="s">
        <v>92</v>
      </c>
      <c r="I20" s="8" t="s">
        <v>92</v>
      </c>
      <c r="J20" s="8" t="s">
        <v>92</v>
      </c>
      <c r="K20" s="8" t="s">
        <v>92</v>
      </c>
      <c r="L20" s="8" t="s">
        <v>92</v>
      </c>
      <c r="M20" s="8" t="s">
        <v>92</v>
      </c>
      <c r="N20" s="7" t="s">
        <v>92</v>
      </c>
      <c r="O20" s="7" t="s">
        <v>92</v>
      </c>
      <c r="P20" s="8" t="s">
        <v>92</v>
      </c>
      <c r="Q20" s="8"/>
      <c r="R20" s="8" t="s">
        <v>27</v>
      </c>
      <c r="S20" s="8"/>
      <c r="T20" s="8"/>
      <c r="U20" s="8"/>
      <c r="V20" s="8"/>
    </row>
    <row r="21" spans="1:22" ht="24" customHeight="1" x14ac:dyDescent="0.25">
      <c r="A21" s="8" t="str">
        <f>IF(E21="R","R-"&amp;TEXT(COUNTIF($E$11:E21,"R"),"000"),IF(E21="O","O-"&amp;TEXT(COUNTIF($E$11:E21,"O"),"000"),"-"))</f>
        <v>R-009</v>
      </c>
      <c r="B21" s="15" t="s">
        <v>105</v>
      </c>
      <c r="C21" s="8" t="s">
        <v>38</v>
      </c>
      <c r="D21" s="8" t="s">
        <v>98</v>
      </c>
      <c r="E21" s="8" t="s">
        <v>91</v>
      </c>
      <c r="F21" s="8" t="s">
        <v>152</v>
      </c>
      <c r="G21" s="8" t="s">
        <v>41</v>
      </c>
      <c r="H21" s="8" t="s">
        <v>39</v>
      </c>
      <c r="I21" s="8">
        <v>3</v>
      </c>
      <c r="J21" s="8">
        <v>2</v>
      </c>
      <c r="K21" s="8">
        <v>1</v>
      </c>
      <c r="L21" s="8">
        <v>1</v>
      </c>
      <c r="M21" s="8">
        <v>1</v>
      </c>
      <c r="N21" s="7">
        <f t="shared" si="0"/>
        <v>8</v>
      </c>
      <c r="O21" s="8" t="str">
        <f t="shared" si="1"/>
        <v>MEDIO</v>
      </c>
      <c r="P21" s="8" t="s">
        <v>40</v>
      </c>
      <c r="Q21" s="8"/>
      <c r="R21" s="8" t="s">
        <v>27</v>
      </c>
      <c r="S21" s="19">
        <v>44470</v>
      </c>
      <c r="T21" s="19">
        <v>44501</v>
      </c>
      <c r="U21" s="16" t="s">
        <v>169</v>
      </c>
      <c r="V21" s="16"/>
    </row>
    <row r="22" spans="1:22" ht="25.5" x14ac:dyDescent="0.25">
      <c r="A22" s="8" t="str">
        <f>IF(E22="R","R-"&amp;TEXT(COUNTIF($E$11:E22,"R"),"000"),IF(E22="O","O-"&amp;TEXT(COUNTIF($E$11:E22,"O"),"000"),"-"))</f>
        <v>R-010</v>
      </c>
      <c r="B22" s="15" t="s">
        <v>105</v>
      </c>
      <c r="C22" s="8" t="s">
        <v>43</v>
      </c>
      <c r="D22" s="8" t="s">
        <v>98</v>
      </c>
      <c r="E22" s="8" t="s">
        <v>91</v>
      </c>
      <c r="F22" s="8" t="s">
        <v>152</v>
      </c>
      <c r="G22" s="8" t="s">
        <v>42</v>
      </c>
      <c r="H22" s="8" t="s">
        <v>44</v>
      </c>
      <c r="I22" s="8">
        <v>1</v>
      </c>
      <c r="J22" s="8">
        <v>1</v>
      </c>
      <c r="K22" s="8">
        <v>1</v>
      </c>
      <c r="L22" s="8">
        <v>2</v>
      </c>
      <c r="M22" s="8">
        <v>3</v>
      </c>
      <c r="N22" s="7">
        <f t="shared" si="0"/>
        <v>8</v>
      </c>
      <c r="O22" s="8" t="str">
        <f t="shared" si="1"/>
        <v>MEDIO</v>
      </c>
      <c r="P22" s="8" t="s">
        <v>45</v>
      </c>
      <c r="Q22" s="8"/>
      <c r="R22" s="8" t="s">
        <v>23</v>
      </c>
      <c r="S22" s="19" t="s">
        <v>92</v>
      </c>
      <c r="T22" s="19" t="s">
        <v>92</v>
      </c>
      <c r="U22" s="8"/>
      <c r="V22" s="8"/>
    </row>
    <row r="23" spans="1:22" ht="25.5" x14ac:dyDescent="0.25">
      <c r="A23" s="7" t="str">
        <f>IF(E23="R","R-"&amp;TEXT(COUNTIF($E$11:E23,"R"),"000"),IF(E23="O","O-"&amp;TEXT(COUNTIF($E$11:E23,"O"),"000"),"-"))</f>
        <v>R-011</v>
      </c>
      <c r="B23" s="10" t="s">
        <v>106</v>
      </c>
      <c r="C23" s="7" t="s">
        <v>46</v>
      </c>
      <c r="D23" s="7" t="s">
        <v>98</v>
      </c>
      <c r="E23" s="7" t="s">
        <v>91</v>
      </c>
      <c r="F23" s="7" t="s">
        <v>97</v>
      </c>
      <c r="G23" s="7" t="s">
        <v>50</v>
      </c>
      <c r="H23" s="7" t="s">
        <v>51</v>
      </c>
      <c r="I23" s="7">
        <v>3</v>
      </c>
      <c r="J23" s="7">
        <v>2</v>
      </c>
      <c r="K23" s="7">
        <v>1</v>
      </c>
      <c r="L23" s="7">
        <v>2</v>
      </c>
      <c r="M23" s="7">
        <v>1</v>
      </c>
      <c r="N23" s="7">
        <f t="shared" si="0"/>
        <v>9</v>
      </c>
      <c r="O23" s="7" t="str">
        <f t="shared" si="1"/>
        <v>MEDIO</v>
      </c>
      <c r="P23" s="7" t="s">
        <v>92</v>
      </c>
      <c r="Q23" s="7" t="s">
        <v>161</v>
      </c>
      <c r="R23" s="7" t="s">
        <v>170</v>
      </c>
      <c r="S23" s="17">
        <v>44470</v>
      </c>
      <c r="T23" s="17">
        <v>44501</v>
      </c>
      <c r="U23" s="18" t="s">
        <v>171</v>
      </c>
      <c r="V23" s="18"/>
    </row>
    <row r="24" spans="1:22" ht="25.5" x14ac:dyDescent="0.25">
      <c r="A24" s="7" t="str">
        <f>IF(E24="R","R-"&amp;TEXT(COUNTIF($E$11:E24,"R"),"000"),IF(E24="O","O-"&amp;TEXT(COUNTIF($E$11:E24,"O"),"000"),"-"))</f>
        <v>R-012</v>
      </c>
      <c r="B24" s="10" t="s">
        <v>106</v>
      </c>
      <c r="C24" s="7" t="s">
        <v>47</v>
      </c>
      <c r="D24" s="7" t="s">
        <v>98</v>
      </c>
      <c r="E24" s="7" t="s">
        <v>91</v>
      </c>
      <c r="F24" s="7" t="s">
        <v>97</v>
      </c>
      <c r="G24" s="7" t="s">
        <v>52</v>
      </c>
      <c r="H24" s="7" t="s">
        <v>53</v>
      </c>
      <c r="I24" s="7">
        <v>1</v>
      </c>
      <c r="J24" s="7">
        <v>1</v>
      </c>
      <c r="K24" s="7">
        <v>1</v>
      </c>
      <c r="L24" s="7">
        <v>2</v>
      </c>
      <c r="M24" s="7">
        <v>1</v>
      </c>
      <c r="N24" s="7">
        <f t="shared" si="0"/>
        <v>6</v>
      </c>
      <c r="O24" s="7" t="str">
        <f t="shared" si="1"/>
        <v>MEDIO</v>
      </c>
      <c r="P24" s="7" t="s">
        <v>54</v>
      </c>
      <c r="Q24" s="7"/>
      <c r="R24" s="7" t="s">
        <v>23</v>
      </c>
      <c r="S24" s="17" t="s">
        <v>92</v>
      </c>
      <c r="T24" s="17" t="s">
        <v>92</v>
      </c>
      <c r="U24" s="7" t="s">
        <v>92</v>
      </c>
      <c r="V24" s="7"/>
    </row>
    <row r="25" spans="1:22" ht="25.5" x14ac:dyDescent="0.25">
      <c r="A25" s="7" t="str">
        <f>IF(E25="R","R-"&amp;TEXT(COUNTIF($E$11:E25,"R"),"000"),IF(E25="O","O-"&amp;TEXT(COUNTIF($E$11:E25,"O"),"000"),"-"))</f>
        <v>-</v>
      </c>
      <c r="B25" s="10" t="s">
        <v>106</v>
      </c>
      <c r="C25" s="7" t="s">
        <v>48</v>
      </c>
      <c r="D25" s="7" t="s">
        <v>98</v>
      </c>
      <c r="E25" s="7" t="s">
        <v>92</v>
      </c>
      <c r="F25" s="7" t="s">
        <v>92</v>
      </c>
      <c r="G25" s="9" t="s">
        <v>23</v>
      </c>
      <c r="H25" s="9" t="s">
        <v>23</v>
      </c>
      <c r="I25" s="9" t="s">
        <v>92</v>
      </c>
      <c r="J25" s="9" t="s">
        <v>92</v>
      </c>
      <c r="K25" s="9" t="s">
        <v>92</v>
      </c>
      <c r="L25" s="9" t="s">
        <v>92</v>
      </c>
      <c r="M25" s="9" t="s">
        <v>92</v>
      </c>
      <c r="N25" s="9" t="s">
        <v>92</v>
      </c>
      <c r="O25" s="9" t="s">
        <v>92</v>
      </c>
      <c r="P25" s="9" t="s">
        <v>92</v>
      </c>
      <c r="Q25" s="9"/>
      <c r="R25" s="9" t="s">
        <v>23</v>
      </c>
      <c r="S25" s="9"/>
      <c r="T25" s="9"/>
      <c r="U25" s="9" t="s">
        <v>23</v>
      </c>
      <c r="V25" s="9"/>
    </row>
    <row r="26" spans="1:22" ht="25.5" x14ac:dyDescent="0.25">
      <c r="A26" s="7" t="str">
        <f>IF(E26="R","R-"&amp;TEXT(COUNTIF($E$11:E26,"R"),"000"),IF(E26="O","O-"&amp;TEXT(COUNTIF($E$11:E26,"O"),"000"),"-"))</f>
        <v>R-013</v>
      </c>
      <c r="B26" s="10" t="s">
        <v>106</v>
      </c>
      <c r="C26" s="7" t="s">
        <v>49</v>
      </c>
      <c r="D26" s="7" t="s">
        <v>98</v>
      </c>
      <c r="E26" s="7" t="s">
        <v>91</v>
      </c>
      <c r="F26" s="7" t="s">
        <v>97</v>
      </c>
      <c r="G26" s="7" t="s">
        <v>55</v>
      </c>
      <c r="H26" s="7" t="s">
        <v>56</v>
      </c>
      <c r="I26" s="7">
        <v>1</v>
      </c>
      <c r="J26" s="7">
        <v>1</v>
      </c>
      <c r="K26" s="7">
        <v>3</v>
      </c>
      <c r="L26" s="7">
        <v>2</v>
      </c>
      <c r="M26" s="7">
        <v>1</v>
      </c>
      <c r="N26" s="7">
        <f t="shared" si="0"/>
        <v>8</v>
      </c>
      <c r="O26" s="7" t="str">
        <f t="shared" si="1"/>
        <v>MEDIO</v>
      </c>
      <c r="P26" s="7" t="s">
        <v>57</v>
      </c>
      <c r="Q26" s="7"/>
      <c r="R26" s="7" t="s">
        <v>23</v>
      </c>
      <c r="S26" s="17" t="s">
        <v>92</v>
      </c>
      <c r="T26" s="17" t="s">
        <v>92</v>
      </c>
      <c r="U26" s="7" t="s">
        <v>92</v>
      </c>
      <c r="V26" s="7"/>
    </row>
    <row r="27" spans="1:22" ht="25.5" x14ac:dyDescent="0.25">
      <c r="A27" s="8" t="str">
        <f>IF(E27="R","R-"&amp;TEXT(COUNTIF($E$11:E27,"R"),"000"),IF(E27="O","O-"&amp;TEXT(COUNTIF($E$11:E27,"O"),"000"),"-"))</f>
        <v>R-014</v>
      </c>
      <c r="B27" s="8" t="s">
        <v>109</v>
      </c>
      <c r="C27" s="8" t="s">
        <v>58</v>
      </c>
      <c r="D27" s="8" t="s">
        <v>98</v>
      </c>
      <c r="E27" s="8" t="s">
        <v>91</v>
      </c>
      <c r="F27" s="8" t="s">
        <v>152</v>
      </c>
      <c r="G27" s="8" t="s">
        <v>59</v>
      </c>
      <c r="H27" s="8" t="s">
        <v>60</v>
      </c>
      <c r="I27" s="8">
        <v>1</v>
      </c>
      <c r="J27" s="8">
        <v>1</v>
      </c>
      <c r="K27" s="8">
        <v>1</v>
      </c>
      <c r="L27" s="8">
        <v>2</v>
      </c>
      <c r="M27" s="8">
        <v>1</v>
      </c>
      <c r="N27" s="7">
        <f t="shared" si="0"/>
        <v>6</v>
      </c>
      <c r="O27" s="8" t="str">
        <f t="shared" si="1"/>
        <v>MEDIO</v>
      </c>
      <c r="P27" s="8" t="s">
        <v>61</v>
      </c>
      <c r="Q27" s="8"/>
      <c r="R27" s="8" t="s">
        <v>23</v>
      </c>
      <c r="S27" s="19" t="s">
        <v>92</v>
      </c>
      <c r="T27" s="19" t="s">
        <v>92</v>
      </c>
      <c r="U27" s="8" t="s">
        <v>92</v>
      </c>
      <c r="V27" s="8"/>
    </row>
    <row r="28" spans="1:22" ht="51" customHeight="1" x14ac:dyDescent="0.25">
      <c r="A28" s="7" t="str">
        <f>IF(E28="R","R-"&amp;TEXT(COUNTIF($E$11:E28,"R"),"000"),IF(E28="O","O-"&amp;TEXT(COUNTIF($E$11:E28,"O"),"000"),"-"))</f>
        <v>R-015</v>
      </c>
      <c r="B28" s="14" t="s">
        <v>107</v>
      </c>
      <c r="C28" s="10" t="s">
        <v>62</v>
      </c>
      <c r="D28" s="7" t="s">
        <v>98</v>
      </c>
      <c r="E28" s="7" t="s">
        <v>91</v>
      </c>
      <c r="F28" s="7" t="s">
        <v>97</v>
      </c>
      <c r="G28" s="7" t="s">
        <v>64</v>
      </c>
      <c r="H28" s="7" t="s">
        <v>75</v>
      </c>
      <c r="I28" s="7">
        <v>1</v>
      </c>
      <c r="J28" s="7">
        <v>3</v>
      </c>
      <c r="K28" s="7">
        <v>1</v>
      </c>
      <c r="L28" s="7">
        <v>2</v>
      </c>
      <c r="M28" s="7">
        <v>1</v>
      </c>
      <c r="N28" s="7">
        <f t="shared" si="0"/>
        <v>8</v>
      </c>
      <c r="O28" s="7" t="str">
        <f t="shared" si="1"/>
        <v>MEDIO</v>
      </c>
      <c r="P28" s="7" t="s">
        <v>92</v>
      </c>
      <c r="Q28" s="7" t="s">
        <v>162</v>
      </c>
      <c r="R28" s="7" t="s">
        <v>23</v>
      </c>
      <c r="S28" s="17" t="s">
        <v>92</v>
      </c>
      <c r="T28" s="17" t="s">
        <v>92</v>
      </c>
      <c r="U28" s="7" t="s">
        <v>92</v>
      </c>
      <c r="V28" s="7"/>
    </row>
    <row r="29" spans="1:22" ht="51" customHeight="1" x14ac:dyDescent="0.25">
      <c r="A29" s="7" t="str">
        <f>IF(E29="R","R-"&amp;TEXT(COUNTIF($E$11:E29,"R"),"000"),IF(E29="O","O-"&amp;TEXT(COUNTIF($E$11:E29,"O"),"000"),"-"))</f>
        <v>R-016</v>
      </c>
      <c r="B29" s="14" t="s">
        <v>107</v>
      </c>
      <c r="C29" s="10" t="s">
        <v>62</v>
      </c>
      <c r="D29" s="7" t="s">
        <v>98</v>
      </c>
      <c r="E29" s="7" t="s">
        <v>91</v>
      </c>
      <c r="F29" s="7" t="s">
        <v>152</v>
      </c>
      <c r="G29" s="7" t="s">
        <v>65</v>
      </c>
      <c r="H29" s="7" t="s">
        <v>67</v>
      </c>
      <c r="I29" s="7">
        <v>3</v>
      </c>
      <c r="J29" s="7">
        <v>3</v>
      </c>
      <c r="K29" s="7">
        <v>1</v>
      </c>
      <c r="L29" s="7">
        <v>2</v>
      </c>
      <c r="M29" s="7">
        <v>1</v>
      </c>
      <c r="N29" s="7">
        <f t="shared" si="0"/>
        <v>10</v>
      </c>
      <c r="O29" s="7" t="str">
        <f t="shared" si="1"/>
        <v>MEDIO</v>
      </c>
      <c r="P29" s="7" t="s">
        <v>66</v>
      </c>
      <c r="Q29" s="7"/>
      <c r="R29" s="7" t="s">
        <v>168</v>
      </c>
      <c r="S29" s="17">
        <v>44470</v>
      </c>
      <c r="T29" s="17">
        <v>44501</v>
      </c>
      <c r="U29" s="18" t="s">
        <v>171</v>
      </c>
      <c r="V29" s="18"/>
    </row>
    <row r="30" spans="1:22" ht="25.5" x14ac:dyDescent="0.25">
      <c r="A30" s="7" t="str">
        <f>IF(E30="R","R-"&amp;TEXT(COUNTIF($E$11:E30,"R"),"000"),IF(E30="O","O-"&amp;TEXT(COUNTIF($E$11:E30,"O"),"000"),"-"))</f>
        <v>R-017</v>
      </c>
      <c r="B30" s="14" t="s">
        <v>107</v>
      </c>
      <c r="C30" s="10" t="s">
        <v>62</v>
      </c>
      <c r="D30" s="7" t="s">
        <v>98</v>
      </c>
      <c r="E30" s="7" t="s">
        <v>91</v>
      </c>
      <c r="F30" s="7" t="s">
        <v>152</v>
      </c>
      <c r="G30" s="7" t="s">
        <v>74</v>
      </c>
      <c r="H30" s="7" t="s">
        <v>75</v>
      </c>
      <c r="I30" s="7">
        <v>3</v>
      </c>
      <c r="J30" s="7">
        <v>3</v>
      </c>
      <c r="K30" s="7">
        <v>3</v>
      </c>
      <c r="L30" s="7">
        <v>2</v>
      </c>
      <c r="M30" s="7">
        <v>1</v>
      </c>
      <c r="N30" s="7">
        <f t="shared" si="0"/>
        <v>12</v>
      </c>
      <c r="O30" s="7" t="str">
        <f t="shared" si="1"/>
        <v>ALTA</v>
      </c>
      <c r="P30" s="7" t="s">
        <v>76</v>
      </c>
      <c r="Q30" s="7"/>
      <c r="R30" s="7" t="s">
        <v>23</v>
      </c>
      <c r="S30" s="17" t="s">
        <v>92</v>
      </c>
      <c r="T30" s="17" t="s">
        <v>92</v>
      </c>
      <c r="U30" s="7"/>
      <c r="V30" s="7"/>
    </row>
    <row r="31" spans="1:22" ht="25.5" x14ac:dyDescent="0.25">
      <c r="A31" s="7" t="str">
        <f>IF(E31="R","R-"&amp;TEXT(COUNTIF($E$11:E31,"R"),"000"),IF(E31="O","O-"&amp;TEXT(COUNTIF($E$11:E31,"O"),"000"),"-"))</f>
        <v>R-018</v>
      </c>
      <c r="B31" s="14" t="s">
        <v>107</v>
      </c>
      <c r="C31" s="7" t="s">
        <v>63</v>
      </c>
      <c r="D31" s="7" t="s">
        <v>98</v>
      </c>
      <c r="E31" s="7" t="s">
        <v>91</v>
      </c>
      <c r="F31" s="7" t="s">
        <v>97</v>
      </c>
      <c r="G31" s="7" t="s">
        <v>77</v>
      </c>
      <c r="H31" s="7" t="s">
        <v>78</v>
      </c>
      <c r="I31" s="7">
        <v>1</v>
      </c>
      <c r="J31" s="7">
        <v>3</v>
      </c>
      <c r="K31" s="7">
        <v>1</v>
      </c>
      <c r="L31" s="7">
        <v>2</v>
      </c>
      <c r="M31" s="7">
        <v>1</v>
      </c>
      <c r="N31" s="7">
        <f t="shared" si="0"/>
        <v>8</v>
      </c>
      <c r="O31" s="7" t="str">
        <f t="shared" si="1"/>
        <v>MEDIO</v>
      </c>
      <c r="P31" s="7" t="s">
        <v>79</v>
      </c>
      <c r="Q31" s="7"/>
      <c r="R31" s="7" t="s">
        <v>23</v>
      </c>
      <c r="S31" s="17" t="s">
        <v>92</v>
      </c>
      <c r="T31" s="17" t="s">
        <v>92</v>
      </c>
      <c r="U31" s="7"/>
      <c r="V31" s="7"/>
    </row>
    <row r="32" spans="1:22" ht="89.25" customHeight="1" x14ac:dyDescent="0.25">
      <c r="A32" s="8" t="str">
        <f>IF(E32="R","R-"&amp;TEXT(COUNTIF($E$11:E32,"R"),"000"),IF(E32="O","O-"&amp;TEXT(COUNTIF($E$11:E32,"O"),"000"),"-"))</f>
        <v>R-019</v>
      </c>
      <c r="B32" s="11" t="s">
        <v>108</v>
      </c>
      <c r="C32" s="11" t="s">
        <v>68</v>
      </c>
      <c r="D32" s="8" t="s">
        <v>98</v>
      </c>
      <c r="E32" s="8" t="s">
        <v>91</v>
      </c>
      <c r="F32" s="8" t="s">
        <v>97</v>
      </c>
      <c r="G32" s="8" t="s">
        <v>80</v>
      </c>
      <c r="H32" s="8" t="s">
        <v>81</v>
      </c>
      <c r="I32" s="8">
        <v>2</v>
      </c>
      <c r="J32" s="8">
        <v>3</v>
      </c>
      <c r="K32" s="8">
        <v>2</v>
      </c>
      <c r="L32" s="8">
        <v>2</v>
      </c>
      <c r="M32" s="8">
        <v>1</v>
      </c>
      <c r="N32" s="7">
        <f t="shared" si="0"/>
        <v>10</v>
      </c>
      <c r="O32" s="8" t="str">
        <f t="shared" si="1"/>
        <v>MEDIO</v>
      </c>
      <c r="P32" s="8" t="s">
        <v>82</v>
      </c>
      <c r="Q32" s="8"/>
      <c r="R32" s="8" t="s">
        <v>23</v>
      </c>
      <c r="S32" s="19" t="s">
        <v>92</v>
      </c>
      <c r="T32" s="19" t="s">
        <v>92</v>
      </c>
      <c r="U32" s="8"/>
      <c r="V32" s="8"/>
    </row>
    <row r="33" spans="1:22" ht="89.25" customHeight="1" x14ac:dyDescent="0.25">
      <c r="A33" s="8" t="str">
        <f>IF(E33="R","R-"&amp;TEXT(COUNTIF($E$11:E33,"R"),"000"),IF(E33="O","O-"&amp;TEXT(COUNTIF($E$11:E33,"O"),"000"),"-"))</f>
        <v>R-020</v>
      </c>
      <c r="B33" s="11" t="s">
        <v>108</v>
      </c>
      <c r="C33" s="11" t="s">
        <v>68</v>
      </c>
      <c r="D33" s="8" t="s">
        <v>98</v>
      </c>
      <c r="E33" s="8" t="s">
        <v>91</v>
      </c>
      <c r="F33" s="8" t="s">
        <v>97</v>
      </c>
      <c r="G33" s="8" t="s">
        <v>83</v>
      </c>
      <c r="H33" s="8" t="s">
        <v>44</v>
      </c>
      <c r="I33" s="8">
        <v>3</v>
      </c>
      <c r="J33" s="8">
        <v>3</v>
      </c>
      <c r="K33" s="8">
        <v>2</v>
      </c>
      <c r="L33" s="8">
        <v>2</v>
      </c>
      <c r="M33" s="8">
        <v>3</v>
      </c>
      <c r="N33" s="7">
        <f t="shared" si="0"/>
        <v>13</v>
      </c>
      <c r="O33" s="8" t="str">
        <f t="shared" si="1"/>
        <v>ALTA</v>
      </c>
      <c r="P33" s="8" t="s">
        <v>92</v>
      </c>
      <c r="Q33" s="16" t="s">
        <v>163</v>
      </c>
      <c r="R33" s="8" t="s">
        <v>27</v>
      </c>
      <c r="S33" s="19">
        <v>44470</v>
      </c>
      <c r="T33" s="19">
        <v>44501</v>
      </c>
      <c r="U33" s="16" t="s">
        <v>172</v>
      </c>
      <c r="V33" s="16"/>
    </row>
    <row r="34" spans="1:22" ht="38.25" x14ac:dyDescent="0.25">
      <c r="A34" s="7" t="str">
        <f>IF(E34="R","R-"&amp;TEXT(COUNTIF($E$11:E34,"R"),"000"),IF(E34="O","O-"&amp;TEXT(COUNTIF($E$11:E34,"O"),"000"),"-"))</f>
        <v>R-021</v>
      </c>
      <c r="B34" s="7" t="s">
        <v>103</v>
      </c>
      <c r="C34" s="7" t="s">
        <v>69</v>
      </c>
      <c r="D34" s="7" t="s">
        <v>98</v>
      </c>
      <c r="E34" s="7" t="s">
        <v>91</v>
      </c>
      <c r="F34" s="7" t="s">
        <v>97</v>
      </c>
      <c r="G34" s="7" t="s">
        <v>85</v>
      </c>
      <c r="H34" s="7" t="s">
        <v>88</v>
      </c>
      <c r="I34" s="7">
        <v>3</v>
      </c>
      <c r="J34" s="7">
        <v>3</v>
      </c>
      <c r="K34" s="7">
        <v>3</v>
      </c>
      <c r="L34" s="7">
        <v>1</v>
      </c>
      <c r="M34" s="7">
        <v>2</v>
      </c>
      <c r="N34" s="7">
        <f t="shared" si="0"/>
        <v>12</v>
      </c>
      <c r="O34" s="7" t="str">
        <f t="shared" si="1"/>
        <v>ALTA</v>
      </c>
      <c r="P34" s="7" t="s">
        <v>89</v>
      </c>
      <c r="Q34" s="7"/>
      <c r="R34" s="7" t="s">
        <v>23</v>
      </c>
      <c r="S34" s="17" t="s">
        <v>92</v>
      </c>
      <c r="T34" s="17" t="s">
        <v>92</v>
      </c>
      <c r="U34" s="7" t="s">
        <v>92</v>
      </c>
      <c r="V34" s="7"/>
    </row>
    <row r="35" spans="1:22" ht="25.5" x14ac:dyDescent="0.25">
      <c r="A35" s="7" t="str">
        <f>IF(E35="R","R-"&amp;TEXT(COUNTIF($E$11:E35,"R"),"000"),IF(E35="O","O-"&amp;TEXT(COUNTIF($E$11:E35,"O"),"000"),"-"))</f>
        <v>R-022</v>
      </c>
      <c r="B35" s="7" t="s">
        <v>103</v>
      </c>
      <c r="C35" s="7" t="s">
        <v>70</v>
      </c>
      <c r="D35" s="7" t="s">
        <v>98</v>
      </c>
      <c r="E35" s="7" t="s">
        <v>91</v>
      </c>
      <c r="F35" s="7" t="s">
        <v>97</v>
      </c>
      <c r="G35" s="7" t="s">
        <v>86</v>
      </c>
      <c r="H35" s="7" t="s">
        <v>87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f t="shared" si="0"/>
        <v>5</v>
      </c>
      <c r="O35" s="7" t="str">
        <f t="shared" si="1"/>
        <v>BAJO</v>
      </c>
      <c r="P35" s="7" t="s">
        <v>90</v>
      </c>
      <c r="Q35" s="7"/>
      <c r="R35" s="7" t="s">
        <v>23</v>
      </c>
      <c r="S35" s="7"/>
      <c r="T35" s="7"/>
      <c r="U35" s="7"/>
      <c r="V35" s="7"/>
    </row>
    <row r="36" spans="1:22" x14ac:dyDescent="0.25">
      <c r="A36" s="7" t="str">
        <f>IF(E36="R","R-"&amp;TEXT(COUNTIF($E$11:E36,"R"),"000"),IF(E36="O","O-"&amp;TEXT(COUNTIF($E$11:E36,"O"),"000"),"-"))</f>
        <v>-</v>
      </c>
      <c r="B36" s="7" t="s">
        <v>103</v>
      </c>
      <c r="C36" s="7" t="s">
        <v>71</v>
      </c>
      <c r="D36" s="7" t="s">
        <v>98</v>
      </c>
      <c r="E36" s="7" t="s">
        <v>92</v>
      </c>
      <c r="F36" s="7" t="s">
        <v>92</v>
      </c>
      <c r="G36" s="7" t="s">
        <v>92</v>
      </c>
      <c r="H36" s="7" t="s">
        <v>92</v>
      </c>
      <c r="I36" s="7" t="s">
        <v>92</v>
      </c>
      <c r="J36" s="7" t="s">
        <v>92</v>
      </c>
      <c r="K36" s="7" t="s">
        <v>92</v>
      </c>
      <c r="L36" s="7" t="s">
        <v>92</v>
      </c>
      <c r="M36" s="7" t="s">
        <v>92</v>
      </c>
      <c r="N36" s="7" t="s">
        <v>92</v>
      </c>
      <c r="O36" s="7" t="s">
        <v>92</v>
      </c>
      <c r="P36" s="7" t="s">
        <v>92</v>
      </c>
      <c r="Q36" s="7"/>
      <c r="R36" s="7" t="s">
        <v>23</v>
      </c>
      <c r="S36" s="7"/>
      <c r="T36" s="7"/>
      <c r="U36" s="7"/>
      <c r="V36" s="7"/>
    </row>
    <row r="37" spans="1:22" ht="25.5" x14ac:dyDescent="0.25">
      <c r="A37" s="7" t="str">
        <f>IF(E37="R","R-"&amp;TEXT(COUNTIF($E$11:E37,"R"),"000"),IF(E37="O","O-"&amp;TEXT(COUNTIF($E$11:E37,"O"),"000"),"-"))</f>
        <v>R-023</v>
      </c>
      <c r="B37" s="7" t="s">
        <v>103</v>
      </c>
      <c r="C37" s="7" t="s">
        <v>72</v>
      </c>
      <c r="D37" s="7" t="s">
        <v>98</v>
      </c>
      <c r="E37" s="7" t="s">
        <v>91</v>
      </c>
      <c r="F37" s="7" t="s">
        <v>152</v>
      </c>
      <c r="G37" s="7" t="s">
        <v>84</v>
      </c>
      <c r="H37" s="7" t="s">
        <v>88</v>
      </c>
      <c r="I37" s="7">
        <v>3</v>
      </c>
      <c r="J37" s="7">
        <v>3</v>
      </c>
      <c r="K37" s="7">
        <v>1</v>
      </c>
      <c r="L37" s="7">
        <v>2</v>
      </c>
      <c r="M37" s="7">
        <v>1</v>
      </c>
      <c r="N37" s="7">
        <f t="shared" si="0"/>
        <v>10</v>
      </c>
      <c r="O37" s="7" t="str">
        <f t="shared" si="1"/>
        <v>MEDIO</v>
      </c>
      <c r="P37" s="7" t="s">
        <v>90</v>
      </c>
      <c r="Q37" s="7"/>
      <c r="R37" s="7" t="s">
        <v>23</v>
      </c>
      <c r="S37" s="17" t="s">
        <v>92</v>
      </c>
      <c r="T37" s="17" t="s">
        <v>92</v>
      </c>
      <c r="U37" s="7" t="s">
        <v>92</v>
      </c>
      <c r="V37" s="7"/>
    </row>
    <row r="38" spans="1:22" x14ac:dyDescent="0.25">
      <c r="A38" s="7" t="str">
        <f>IF(E38="R","R-"&amp;TEXT(COUNTIF($E$11:E38,"R"),"000"),IF(E38="O","O-"&amp;TEXT(COUNTIF($E$11:E38,"O"),"000"),"-"))</f>
        <v>-</v>
      </c>
      <c r="B38" s="7" t="s">
        <v>103</v>
      </c>
      <c r="C38" s="7" t="s">
        <v>73</v>
      </c>
      <c r="D38" s="7" t="s">
        <v>98</v>
      </c>
      <c r="E38" s="7" t="s">
        <v>92</v>
      </c>
      <c r="F38" s="7" t="s">
        <v>92</v>
      </c>
      <c r="G38" s="7" t="s">
        <v>92</v>
      </c>
      <c r="H38" s="7" t="s">
        <v>92</v>
      </c>
      <c r="I38" s="7" t="s">
        <v>92</v>
      </c>
      <c r="J38" s="7" t="s">
        <v>92</v>
      </c>
      <c r="K38" s="7" t="s">
        <v>92</v>
      </c>
      <c r="L38" s="7" t="s">
        <v>92</v>
      </c>
      <c r="M38" s="7" t="s">
        <v>92</v>
      </c>
      <c r="N38" s="7" t="s">
        <v>92</v>
      </c>
      <c r="O38" s="7" t="s">
        <v>92</v>
      </c>
      <c r="P38" s="7" t="s">
        <v>92</v>
      </c>
      <c r="Q38" s="7"/>
      <c r="R38" s="7" t="s">
        <v>23</v>
      </c>
      <c r="S38" s="7"/>
      <c r="T38" s="7"/>
      <c r="U38" s="7"/>
      <c r="V38" s="7"/>
    </row>
    <row r="39" spans="1:22" s="12" customFormat="1" ht="25.5" x14ac:dyDescent="0.25">
      <c r="A39" s="7" t="str">
        <f>IF(E39="R","R-"&amp;TEXT(COUNTIF($E$11:E39,"R"),"000"),IF(E39="O","O-"&amp;TEXT(COUNTIF($E$11:E39,"O"),"000"),"-"))</f>
        <v>R-024</v>
      </c>
      <c r="B39" s="7" t="s">
        <v>131</v>
      </c>
      <c r="C39" s="9" t="s">
        <v>139</v>
      </c>
      <c r="D39" s="9" t="s">
        <v>98</v>
      </c>
      <c r="E39" s="9" t="s">
        <v>91</v>
      </c>
      <c r="F39" s="9" t="s">
        <v>97</v>
      </c>
      <c r="G39" s="7" t="s">
        <v>141</v>
      </c>
      <c r="H39" s="9" t="s">
        <v>142</v>
      </c>
      <c r="I39" s="9">
        <v>3</v>
      </c>
      <c r="J39" s="9">
        <v>2</v>
      </c>
      <c r="K39" s="9">
        <v>3</v>
      </c>
      <c r="L39" s="9">
        <v>2</v>
      </c>
      <c r="M39" s="9">
        <v>2</v>
      </c>
      <c r="N39" s="7">
        <f t="shared" si="0"/>
        <v>12</v>
      </c>
      <c r="O39" s="7" t="str">
        <f t="shared" si="1"/>
        <v>ALTA</v>
      </c>
      <c r="P39" s="9" t="s">
        <v>143</v>
      </c>
      <c r="Q39" s="9" t="s">
        <v>144</v>
      </c>
      <c r="R39" s="9" t="s">
        <v>145</v>
      </c>
      <c r="S39" s="17">
        <v>44470</v>
      </c>
      <c r="T39" s="17">
        <v>44501</v>
      </c>
      <c r="U39" s="9" t="s">
        <v>146</v>
      </c>
      <c r="V39" s="9"/>
    </row>
    <row r="40" spans="1:22" x14ac:dyDescent="0.25">
      <c r="A40" s="1"/>
      <c r="B40" s="1"/>
      <c r="C40" s="1"/>
      <c r="D40" s="2"/>
      <c r="E40" s="3"/>
      <c r="F40" s="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1"/>
      <c r="B41" s="1"/>
      <c r="C41" s="1"/>
      <c r="D41" s="2"/>
      <c r="E41" s="3"/>
      <c r="F41" s="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x14ac:dyDescent="0.25">
      <c r="A42" s="1"/>
      <c r="B42" s="1"/>
      <c r="C42" s="1"/>
      <c r="D42" s="2"/>
      <c r="E42" s="3"/>
      <c r="F42" s="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x14ac:dyDescent="0.25">
      <c r="A43" s="1"/>
      <c r="B43" s="1"/>
      <c r="C43" s="1"/>
      <c r="D43" s="2"/>
      <c r="E43" s="3"/>
      <c r="F43" s="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x14ac:dyDescent="0.25">
      <c r="A44" s="1"/>
      <c r="B44" s="1"/>
      <c r="C44" s="1"/>
      <c r="D44" s="2"/>
      <c r="E44" s="3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x14ac:dyDescent="0.25">
      <c r="A45" s="1"/>
      <c r="B45" s="1"/>
      <c r="C45" s="1"/>
      <c r="D45" s="2"/>
      <c r="E45" s="3"/>
      <c r="F45" s="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x14ac:dyDescent="0.25">
      <c r="A46" s="1"/>
      <c r="B46" s="1"/>
      <c r="C46" s="1"/>
      <c r="D46" s="2"/>
      <c r="E46" s="3"/>
      <c r="F46" s="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</sheetData>
  <mergeCells count="2">
    <mergeCell ref="Q9:V9"/>
    <mergeCell ref="I9:O9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DB!$A$2:$A$12</xm:f>
          </x14:formula1>
          <xm:sqref>B11:B39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6" sqref="A6"/>
    </sheetView>
  </sheetViews>
  <sheetFormatPr baseColWidth="10" defaultRowHeight="15" x14ac:dyDescent="0.25"/>
  <cols>
    <col min="1" max="1" width="33.7109375" bestFit="1" customWidth="1"/>
    <col min="2" max="2" width="20.140625" bestFit="1" customWidth="1"/>
  </cols>
  <sheetData>
    <row r="1" spans="1:4" x14ac:dyDescent="0.25">
      <c r="A1" s="13" t="s">
        <v>0</v>
      </c>
      <c r="B1" t="s">
        <v>100</v>
      </c>
      <c r="C1" t="s">
        <v>116</v>
      </c>
      <c r="D1" t="s">
        <v>118</v>
      </c>
    </row>
    <row r="2" spans="1:4" x14ac:dyDescent="0.25">
      <c r="A2" s="13" t="s">
        <v>101</v>
      </c>
      <c r="B2" t="s">
        <v>97</v>
      </c>
      <c r="C2" t="s">
        <v>43</v>
      </c>
      <c r="D2" t="s">
        <v>121</v>
      </c>
    </row>
    <row r="3" spans="1:4" x14ac:dyDescent="0.25">
      <c r="A3" s="13" t="s">
        <v>102</v>
      </c>
      <c r="B3" t="s">
        <v>115</v>
      </c>
      <c r="C3" t="s">
        <v>43</v>
      </c>
      <c r="D3" t="s">
        <v>123</v>
      </c>
    </row>
    <row r="4" spans="1:4" x14ac:dyDescent="0.25">
      <c r="A4" s="13" t="s">
        <v>103</v>
      </c>
      <c r="B4" t="s">
        <v>124</v>
      </c>
      <c r="C4" t="s">
        <v>98</v>
      </c>
      <c r="D4" t="s">
        <v>119</v>
      </c>
    </row>
    <row r="5" spans="1:4" x14ac:dyDescent="0.25">
      <c r="A5" s="13" t="s">
        <v>131</v>
      </c>
      <c r="B5" t="s">
        <v>125</v>
      </c>
      <c r="C5" t="s">
        <v>98</v>
      </c>
      <c r="D5" t="s">
        <v>120</v>
      </c>
    </row>
    <row r="6" spans="1:4" x14ac:dyDescent="0.25">
      <c r="A6" s="13" t="s">
        <v>132</v>
      </c>
      <c r="B6" t="s">
        <v>126</v>
      </c>
      <c r="C6" t="s">
        <v>117</v>
      </c>
      <c r="D6" t="s">
        <v>122</v>
      </c>
    </row>
    <row r="7" spans="1:4" x14ac:dyDescent="0.25">
      <c r="A7" s="13" t="s">
        <v>133</v>
      </c>
      <c r="B7" t="s">
        <v>127</v>
      </c>
      <c r="C7" t="s">
        <v>117</v>
      </c>
    </row>
    <row r="8" spans="1:4" x14ac:dyDescent="0.25">
      <c r="A8" s="13" t="s">
        <v>134</v>
      </c>
      <c r="B8" t="s">
        <v>128</v>
      </c>
      <c r="C8" t="s">
        <v>117</v>
      </c>
    </row>
    <row r="9" spans="1:4" x14ac:dyDescent="0.25">
      <c r="A9" s="13" t="s">
        <v>135</v>
      </c>
    </row>
    <row r="10" spans="1:4" x14ac:dyDescent="0.25">
      <c r="A10" s="13" t="s">
        <v>136</v>
      </c>
    </row>
    <row r="11" spans="1:4" x14ac:dyDescent="0.25">
      <c r="A11" s="13" t="s">
        <v>137</v>
      </c>
    </row>
    <row r="12" spans="1:4" x14ac:dyDescent="0.25">
      <c r="A12" s="1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Coayla Mendoza</dc:creator>
  <cp:lastModifiedBy>User</cp:lastModifiedBy>
  <dcterms:created xsi:type="dcterms:W3CDTF">2021-08-12T20:37:53Z</dcterms:created>
  <dcterms:modified xsi:type="dcterms:W3CDTF">2022-02-21T16:41:26Z</dcterms:modified>
</cp:coreProperties>
</file>