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6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SIG Peruvian Dress-20220530T020651Z-001\SIG Peruvian Dress\01 Documentos Generales del SIG\PD-DOC-011 Lista de Indicadores\Obsoleto\"/>
    </mc:Choice>
  </mc:AlternateContent>
  <bookViews>
    <workbookView xWindow="0" yWindow="0" windowWidth="20490" windowHeight="7650" tabRatio="869"/>
  </bookViews>
  <sheets>
    <sheet name="Lista de Indicadores" sheetId="2" r:id="rId1"/>
    <sheet name="IND1" sheetId="1" r:id="rId2"/>
    <sheet name="IND2" sheetId="3" r:id="rId3"/>
    <sheet name="IND3" sheetId="4" r:id="rId4"/>
    <sheet name="IND4" sheetId="5" r:id="rId5"/>
    <sheet name="IND5" sheetId="6" r:id="rId6"/>
    <sheet name="IND6" sheetId="7" r:id="rId7"/>
    <sheet name="IND7" sheetId="8" r:id="rId8"/>
    <sheet name="IND8" sheetId="9" r:id="rId9"/>
    <sheet name="IND9" sheetId="10" r:id="rId10"/>
    <sheet name="IND10" sheetId="11" r:id="rId11"/>
    <sheet name="IND11" sheetId="12" r:id="rId12"/>
    <sheet name="IND12" sheetId="13" r:id="rId13"/>
    <sheet name="IND13" sheetId="14" r:id="rId14"/>
    <sheet name="IND14" sheetId="15" r:id="rId15"/>
    <sheet name="IND15" sheetId="16" r:id="rId16"/>
  </sheets>
  <externalReferences>
    <externalReference r:id="rId17"/>
  </externalReferences>
  <definedNames>
    <definedName name="mes">#REF!</definedName>
    <definedName name="MESES">[1]MESES!$A$2:$A$13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7" i="16"/>
  <c r="B6" i="16"/>
  <c r="J3" i="16"/>
  <c r="N3" i="16"/>
  <c r="F3" i="16"/>
  <c r="C2" i="16"/>
  <c r="B7" i="15"/>
  <c r="B6" i="15"/>
  <c r="N3" i="15"/>
  <c r="J3" i="15"/>
  <c r="F3" i="15"/>
  <c r="C2" i="15"/>
  <c r="B7" i="14"/>
  <c r="B6" i="14"/>
  <c r="N3" i="14"/>
  <c r="J3" i="14"/>
  <c r="F3" i="14"/>
  <c r="C2" i="14"/>
  <c r="B7" i="13"/>
  <c r="B6" i="13"/>
  <c r="N3" i="13"/>
  <c r="J3" i="13"/>
  <c r="F3" i="13"/>
  <c r="C2" i="13"/>
  <c r="N8" i="12"/>
  <c r="M8" i="12"/>
  <c r="L8" i="12"/>
  <c r="K8" i="12"/>
  <c r="J8" i="12"/>
  <c r="I8" i="12"/>
  <c r="H8" i="12"/>
  <c r="G8" i="12"/>
  <c r="F8" i="12"/>
  <c r="E8" i="12"/>
  <c r="D8" i="12"/>
  <c r="C8" i="12"/>
  <c r="N8" i="11"/>
  <c r="M8" i="11"/>
  <c r="L8" i="11"/>
  <c r="K8" i="11"/>
  <c r="J8" i="11"/>
  <c r="I8" i="11"/>
  <c r="H8" i="11"/>
  <c r="G8" i="11"/>
  <c r="F8" i="11"/>
  <c r="E8" i="11"/>
  <c r="D8" i="11"/>
  <c r="C8" i="11"/>
  <c r="N8" i="10"/>
  <c r="M8" i="10"/>
  <c r="L8" i="10"/>
  <c r="K8" i="10"/>
  <c r="J8" i="10"/>
  <c r="I8" i="10"/>
  <c r="H8" i="10"/>
  <c r="G8" i="10"/>
  <c r="F8" i="10"/>
  <c r="E8" i="10"/>
  <c r="D8" i="10"/>
  <c r="C8" i="10"/>
  <c r="N8" i="9"/>
  <c r="M8" i="9"/>
  <c r="L8" i="9"/>
  <c r="K8" i="9"/>
  <c r="J8" i="9"/>
  <c r="I8" i="9"/>
  <c r="H8" i="9"/>
  <c r="G8" i="9"/>
  <c r="F8" i="9"/>
  <c r="E8" i="9"/>
  <c r="D8" i="9"/>
  <c r="C8" i="9"/>
  <c r="N8" i="8"/>
  <c r="M8" i="8"/>
  <c r="L8" i="8"/>
  <c r="K8" i="8"/>
  <c r="J8" i="8"/>
  <c r="I8" i="8"/>
  <c r="H8" i="8"/>
  <c r="G8" i="8"/>
  <c r="F8" i="8"/>
  <c r="E8" i="8"/>
  <c r="D8" i="8"/>
  <c r="C8" i="8"/>
  <c r="N8" i="7"/>
  <c r="M8" i="7"/>
  <c r="L8" i="7"/>
  <c r="K8" i="7"/>
  <c r="J8" i="7"/>
  <c r="I8" i="7"/>
  <c r="H8" i="7"/>
  <c r="G8" i="7"/>
  <c r="F8" i="7"/>
  <c r="E8" i="7"/>
  <c r="D8" i="7"/>
  <c r="C8" i="7"/>
  <c r="N8" i="6"/>
  <c r="M8" i="6"/>
  <c r="L8" i="6"/>
  <c r="K8" i="6"/>
  <c r="J8" i="6"/>
  <c r="I8" i="6"/>
  <c r="H8" i="6"/>
  <c r="G8" i="6"/>
  <c r="F8" i="6"/>
  <c r="E8" i="6"/>
  <c r="D8" i="6"/>
  <c r="C8" i="6"/>
  <c r="N8" i="5"/>
  <c r="M8" i="5"/>
  <c r="L8" i="5"/>
  <c r="K8" i="5"/>
  <c r="J8" i="5"/>
  <c r="I8" i="5"/>
  <c r="H8" i="5"/>
  <c r="G8" i="5"/>
  <c r="F8" i="5"/>
  <c r="E8" i="5"/>
  <c r="D8" i="5"/>
  <c r="C8" i="5"/>
  <c r="N8" i="4"/>
  <c r="M8" i="4"/>
  <c r="L8" i="4"/>
  <c r="K8" i="4"/>
  <c r="J8" i="4"/>
  <c r="I8" i="4"/>
  <c r="H8" i="4"/>
  <c r="G8" i="4"/>
  <c r="F8" i="4"/>
  <c r="E8" i="4"/>
  <c r="D8" i="4"/>
  <c r="C8" i="4"/>
  <c r="N8" i="3"/>
  <c r="M8" i="3"/>
  <c r="L8" i="3"/>
  <c r="K8" i="3"/>
  <c r="J8" i="3"/>
  <c r="I8" i="3"/>
  <c r="H8" i="3"/>
  <c r="G8" i="3"/>
  <c r="F8" i="3"/>
  <c r="E8" i="3"/>
  <c r="D8" i="3"/>
  <c r="C8" i="3"/>
  <c r="N8" i="16" l="1"/>
  <c r="M8" i="16"/>
  <c r="L8" i="16"/>
  <c r="K8" i="16"/>
  <c r="J8" i="16"/>
  <c r="I8" i="16"/>
  <c r="H8" i="16"/>
  <c r="G8" i="16"/>
  <c r="F8" i="16"/>
  <c r="E8" i="16"/>
  <c r="D8" i="16"/>
  <c r="C8" i="16"/>
  <c r="N8" i="15"/>
  <c r="M8" i="15"/>
  <c r="L8" i="15"/>
  <c r="K8" i="15"/>
  <c r="J8" i="15"/>
  <c r="I8" i="15"/>
  <c r="H8" i="15"/>
  <c r="G8" i="15"/>
  <c r="F8" i="15"/>
  <c r="E8" i="15"/>
  <c r="D8" i="15"/>
  <c r="C8" i="15"/>
  <c r="N8" i="14"/>
  <c r="M8" i="14"/>
  <c r="L8" i="14"/>
  <c r="K8" i="14"/>
  <c r="J8" i="14"/>
  <c r="I8" i="14"/>
  <c r="H8" i="14"/>
  <c r="G8" i="14"/>
  <c r="F8" i="14"/>
  <c r="E8" i="14"/>
  <c r="D8" i="14"/>
  <c r="C8" i="14"/>
  <c r="N8" i="13"/>
  <c r="M8" i="13"/>
  <c r="L8" i="13"/>
  <c r="K8" i="13"/>
  <c r="J8" i="13"/>
  <c r="I8" i="13"/>
  <c r="H8" i="13"/>
  <c r="G8" i="13"/>
  <c r="F8" i="13"/>
  <c r="E8" i="13"/>
  <c r="D8" i="13"/>
  <c r="C8" i="13"/>
  <c r="I3" i="13" s="1"/>
  <c r="I3" i="11"/>
  <c r="I18" i="2" s="1"/>
  <c r="I3" i="10"/>
  <c r="I17" i="2" s="1"/>
  <c r="I3" i="9"/>
  <c r="I16" i="2" s="1"/>
  <c r="I3" i="6"/>
  <c r="I13" i="2" s="1"/>
  <c r="I3" i="5"/>
  <c r="I12" i="2" s="1"/>
  <c r="D8" i="1"/>
  <c r="E8" i="1"/>
  <c r="F8" i="1"/>
  <c r="G8" i="1"/>
  <c r="H8" i="1"/>
  <c r="I8" i="1"/>
  <c r="J8" i="1"/>
  <c r="K8" i="1"/>
  <c r="L8" i="1"/>
  <c r="M8" i="1"/>
  <c r="N8" i="1"/>
  <c r="C8" i="1"/>
  <c r="I3" i="12"/>
  <c r="I3" i="7"/>
  <c r="I14" i="2" s="1"/>
  <c r="I3" i="4"/>
  <c r="I11" i="2" s="1"/>
  <c r="B7" i="12"/>
  <c r="B6" i="12"/>
  <c r="N3" i="12"/>
  <c r="J3" i="12"/>
  <c r="F3" i="12"/>
  <c r="C2" i="12"/>
  <c r="I19" i="2"/>
  <c r="I20" i="2"/>
  <c r="I21" i="2"/>
  <c r="I22" i="2"/>
  <c r="I23" i="2"/>
  <c r="B7" i="11"/>
  <c r="B6" i="11"/>
  <c r="N3" i="11"/>
  <c r="J3" i="11"/>
  <c r="F3" i="11"/>
  <c r="C2" i="11"/>
  <c r="B7" i="10"/>
  <c r="B6" i="10"/>
  <c r="N3" i="10"/>
  <c r="J3" i="10"/>
  <c r="F3" i="10"/>
  <c r="C2" i="10"/>
  <c r="B7" i="9"/>
  <c r="B6" i="9"/>
  <c r="J3" i="9"/>
  <c r="N3" i="9"/>
  <c r="F3" i="9"/>
  <c r="C2" i="9"/>
  <c r="B7" i="8"/>
  <c r="B6" i="8"/>
  <c r="N3" i="8"/>
  <c r="J3" i="8"/>
  <c r="F3" i="8"/>
  <c r="C2" i="8"/>
  <c r="B7" i="7"/>
  <c r="B6" i="7"/>
  <c r="N3" i="7"/>
  <c r="J3" i="7"/>
  <c r="F3" i="7"/>
  <c r="C2" i="7"/>
  <c r="B7" i="6"/>
  <c r="B6" i="6"/>
  <c r="N3" i="6"/>
  <c r="J3" i="6"/>
  <c r="F3" i="6"/>
  <c r="C2" i="6"/>
  <c r="B7" i="5"/>
  <c r="B6" i="5"/>
  <c r="N3" i="5"/>
  <c r="F3" i="5"/>
  <c r="C2" i="5"/>
  <c r="J3" i="5"/>
  <c r="B7" i="4"/>
  <c r="B6" i="4"/>
  <c r="N3" i="4"/>
  <c r="J3" i="4"/>
  <c r="F3" i="4"/>
  <c r="C2" i="4"/>
  <c r="N3" i="3"/>
  <c r="J3" i="3"/>
  <c r="F3" i="3"/>
  <c r="C2" i="3"/>
  <c r="B7" i="3"/>
  <c r="B6" i="3"/>
  <c r="B7" i="1"/>
  <c r="B6" i="1"/>
  <c r="N3" i="1"/>
  <c r="J3" i="1"/>
  <c r="F3" i="1"/>
  <c r="I3" i="14" l="1"/>
  <c r="I3" i="15"/>
  <c r="I3" i="16"/>
  <c r="I3" i="8"/>
  <c r="I15" i="2" s="1"/>
  <c r="I3" i="3"/>
  <c r="I10" i="2" s="1"/>
  <c r="I3" i="1"/>
  <c r="I9" i="2" s="1"/>
</calcChain>
</file>

<file path=xl/sharedStrings.xml><?xml version="1.0" encoding="utf-8"?>
<sst xmlns="http://schemas.openxmlformats.org/spreadsheetml/2006/main" count="685" uniqueCount="112">
  <si>
    <t>Fecha a ejecutar</t>
  </si>
  <si>
    <t>Responsable</t>
  </si>
  <si>
    <t>Acciones a desarrollar</t>
  </si>
  <si>
    <t>Mes</t>
  </si>
  <si>
    <t>ACCIONES A TOMAR</t>
  </si>
  <si>
    <t>Indicador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</si>
  <si>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</si>
  <si>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</si>
  <si>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</si>
  <si>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</si>
  <si>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</si>
  <si>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</si>
  <si>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</si>
  <si>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</si>
  <si>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</si>
  <si>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</si>
  <si>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</si>
  <si>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</si>
  <si>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Mensual</t>
  </si>
  <si>
    <t>META</t>
  </si>
  <si>
    <t>MALO</t>
  </si>
  <si>
    <t>REGULAR</t>
  </si>
  <si>
    <t>BUENO</t>
  </si>
  <si>
    <t>RESULTADO</t>
  </si>
  <si>
    <t>Meta</t>
  </si>
  <si>
    <t>Nro</t>
  </si>
  <si>
    <t>Nombre</t>
  </si>
  <si>
    <t>Indice de quejas</t>
  </si>
  <si>
    <t>Cumplimiento de pedidos</t>
  </si>
  <si>
    <t>Cumplimiento compras a proveedores calificados</t>
  </si>
  <si>
    <t>Cumplimiento de inspecciones programadas</t>
  </si>
  <si>
    <t>Cumplimiento de requisitos legales</t>
  </si>
  <si>
    <t>Cumplimiento del programa auditorias internas</t>
  </si>
  <si>
    <t>(Nro. quejas atendidas a tiempo/Nro. total de quejas reportadas)*100</t>
  </si>
  <si>
    <t>(Nro. compras realizadas a proveedores calificados/Nro. de compras realizadas)*100</t>
  </si>
  <si>
    <t>Seguimiento</t>
  </si>
  <si>
    <t>(Nro. capacitaciones ejecutadas dentro del plazo/Nro. total de capacitaciones programadas)*100</t>
  </si>
  <si>
    <t>(Nro. mantenimientos ejecutadas dentro del plazo/Nro. total de mantenimientos programados)*100</t>
  </si>
  <si>
    <t>(Nro. de inspecciones ejecutadas/Nro. total de inspecciones programadas)*100</t>
  </si>
  <si>
    <t>Reducción de incidentes</t>
  </si>
  <si>
    <t>Reducción de accidentes</t>
  </si>
  <si>
    <t>(Nro. de accidentes ocurridos/Nro. de acciones correctivas planificadas)*100</t>
  </si>
  <si>
    <t>(Nro. de incidentes reportados/Nro. acciones de mejoras realizadas)*100</t>
  </si>
  <si>
    <t>(Nro. de requisitos legales con acciones cumplidas y mantenidas/Nro. total de requisitos legales)*100</t>
  </si>
  <si>
    <t>(Nro. de auditorias ejecutadas/Nro. total de auditorias programadas)*100</t>
  </si>
  <si>
    <t>Semestral</t>
  </si>
  <si>
    <t>FORMULA</t>
  </si>
  <si>
    <t>Nombre del Indicador</t>
  </si>
  <si>
    <t>FRECUENCIA DE SEGUIMIENTO</t>
  </si>
  <si>
    <t>Setiembre</t>
  </si>
  <si>
    <t>Variables 1</t>
  </si>
  <si>
    <t>Variable 2</t>
  </si>
  <si>
    <t>Nro. quejas atendidas a tiempo</t>
  </si>
  <si>
    <t>Nro. pedidos atendidos dentro de plazo de atención</t>
  </si>
  <si>
    <t>Nro. compras realizadas a proveedores calificados</t>
  </si>
  <si>
    <t>Nro. mantenimientos ejecutadas dentro del plazo</t>
  </si>
  <si>
    <t>Nro. capacitaciones ejecutadas dentro del plazo</t>
  </si>
  <si>
    <t>Nro. de inspecciones ejecutadas</t>
  </si>
  <si>
    <t>Nro. de accidentes ocurridos</t>
  </si>
  <si>
    <t>Nro. total de quejas reportadas</t>
  </si>
  <si>
    <t>Nro. de compras realizadas</t>
  </si>
  <si>
    <t>Nro. total de mantenimientos programados</t>
  </si>
  <si>
    <t>Nro. total de capacitaciones programadas</t>
  </si>
  <si>
    <t>Nro. total de inspecciones programadas</t>
  </si>
  <si>
    <t>Nro. de acciones correctivas planificadas</t>
  </si>
  <si>
    <t>Nro. acciones de mejoras realizadas</t>
  </si>
  <si>
    <t>Nro. total de requisitos legales</t>
  </si>
  <si>
    <t>Nro. de incidentes reportados</t>
  </si>
  <si>
    <t>Nro. de requisitos legales con acciones cumplidas y mantenidas</t>
  </si>
  <si>
    <t>Nro. de auditorias ejecutadas</t>
  </si>
  <si>
    <t>Nro. total de auditorias programada</t>
  </si>
  <si>
    <t>Resultado Alcanzado</t>
  </si>
  <si>
    <t>Proceso</t>
  </si>
  <si>
    <t>Gestión Comercial</t>
  </si>
  <si>
    <t>Gestión Logistica</t>
  </si>
  <si>
    <t>Recursos Humanos</t>
  </si>
  <si>
    <t>Gestión SIG</t>
  </si>
  <si>
    <t>Planeamiento Estrategico</t>
  </si>
  <si>
    <t>Administración</t>
  </si>
  <si>
    <t>Diseño</t>
  </si>
  <si>
    <t>Confección</t>
  </si>
  <si>
    <t>Mantenimiento y Control de Equipo</t>
  </si>
  <si>
    <t>Control de la Calidad</t>
  </si>
  <si>
    <t>Eficacia de las acciones de los riesgos y oportunidades</t>
  </si>
  <si>
    <t>Indice de mejoras</t>
  </si>
  <si>
    <t>Cumplimiento de mantenimientos programados</t>
  </si>
  <si>
    <t>Cumplimiento del programa de capacitación</t>
  </si>
  <si>
    <t>(Nro. de acciones de mejora detectada como resultado de la revisión por la dirección/Nro. total de revisiones por la dirección ejecutadas)*100</t>
  </si>
  <si>
    <t>Nro. de acciones de mejora detectada como resultado de la revisión por la dirección</t>
  </si>
  <si>
    <t>Nro. total de revisiones por la dirección ejecutadas</t>
  </si>
  <si>
    <t>Anual</t>
  </si>
  <si>
    <t>Cumplimiento de Declaración de Impuestos</t>
  </si>
  <si>
    <t>(Declaración de Impuesto realizado en la fecha programada/Declaración programaada)*100</t>
  </si>
  <si>
    <t>Declaración de Impuesto realizado en la fecha programada</t>
  </si>
  <si>
    <t>Declaración programaada</t>
  </si>
  <si>
    <t>Cumplimiento de los Requisitos de Diseño</t>
  </si>
  <si>
    <t>(Nuevos diseños producidos y  aceptados por el cliente/Numero de diseño aprobados por el clientes)*100</t>
  </si>
  <si>
    <t>Nuevos diseños producidos y  aceptados por el cliente</t>
  </si>
  <si>
    <t>Numero de diseño aprobados por el clientes</t>
  </si>
  <si>
    <t>(Nro. de revisión de eficacia de acciones / Nro. de revisiones programadas)*100</t>
  </si>
  <si>
    <t xml:space="preserve">Nro. de revisión de eficacia de acciones </t>
  </si>
  <si>
    <t>Nro. de revisiones programadas</t>
  </si>
  <si>
    <t>Cumplimiento de revision de requisito del producto</t>
  </si>
  <si>
    <t>(Nro. de orden de pedido liberado por el encargado de calidad/Nro. total de orden de pedido)*100</t>
  </si>
  <si>
    <t>Nro. de orden de pedido liberado por el encargado de calidad</t>
  </si>
  <si>
    <t>Nro. total de orden de pedido</t>
  </si>
  <si>
    <t>(Nro. pedidos atendidos dentro de plazo de atención/Nro. total de pedidos recepcionados por el cliente)*100</t>
  </si>
  <si>
    <t>Nro. total de pedidos recepcionados por el cliente</t>
  </si>
  <si>
    <t>Sistema de Gestión</t>
  </si>
  <si>
    <t>SGC</t>
  </si>
  <si>
    <t>SGC / SGSST</t>
  </si>
  <si>
    <t>SGSST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</si>
</sst>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Calibri Light"/>
      <family val="1"/>
      <scheme val="major"/>
    </font>
    <font>
      <b/>
      <sz val="9"/>
      <color theme="4" tint="0.79998168889431442"/>
      <name val="Calibri Light"/>
      <family val="1"/>
      <scheme val="major"/>
    </font>
    <font>
      <b/>
      <sz val="10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6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2" applyFill="1" applyProtection="1">
      <protection hidden="1"/>
    </xf>
    <xf numFmtId="164" fontId="2" fillId="2" borderId="0" xfId="2" applyNumberFormat="1" applyFill="1" applyProtection="1">
      <protection hidden="1"/>
    </xf>
    <xf numFmtId="0" fontId="2" fillId="2" borderId="0" xfId="2" applyFill="1" applyProtection="1">
      <protection locked="0"/>
    </xf>
    <xf numFmtId="0" fontId="2" fillId="2" borderId="0" xfId="2" applyFill="1"/>
    <xf numFmtId="0" fontId="2" fillId="2" borderId="0" xfId="2" applyFill="1" applyAlignment="1" applyProtection="1">
      <alignment vertical="top"/>
      <protection locked="0"/>
    </xf>
    <xf numFmtId="0" fontId="5" fillId="3" borderId="4" xfId="2" applyFont="1" applyFill="1" applyBorder="1" applyAlignment="1" applyProtection="1">
      <alignment horizontal="center" vertical="center" wrapText="1"/>
      <protection locked="0"/>
    </xf>
    <xf numFmtId="0" fontId="6" fillId="2" borderId="0" xfId="2" applyFont="1" applyFill="1" applyAlignment="1" applyProtection="1">
      <alignment vertical="center"/>
      <protection locked="0"/>
    </xf>
    <xf numFmtId="0" fontId="7" fillId="4" borderId="0" xfId="2" applyFont="1" applyFill="1" applyProtection="1">
      <protection hidden="1"/>
    </xf>
    <xf numFmtId="164" fontId="7" fillId="4" borderId="0" xfId="2" applyNumberFormat="1" applyFont="1" applyFill="1" applyProtection="1">
      <protection hidden="1"/>
    </xf>
    <xf numFmtId="0" fontId="2" fillId="2" borderId="0" xfId="2" applyFill="1" applyAlignment="1" applyProtection="1">
      <alignment horizontal="center" vertical="center"/>
      <protection hidden="1"/>
    </xf>
    <xf numFmtId="165" fontId="7" fillId="4" borderId="5" xfId="3" applyNumberFormat="1" applyFont="1" applyFill="1" applyBorder="1" applyAlignment="1" applyProtection="1">
      <alignment horizontal="center" vertical="center"/>
      <protection hidden="1"/>
    </xf>
    <xf numFmtId="0" fontId="3" fillId="4" borderId="5" xfId="2" applyFont="1" applyFill="1" applyBorder="1" applyAlignment="1" applyProtection="1">
      <alignment horizontal="center" vertical="center"/>
      <protection hidden="1"/>
    </xf>
    <xf numFmtId="0" fontId="7" fillId="4" borderId="0" xfId="2" applyFont="1" applyFill="1" applyAlignment="1" applyProtection="1">
      <alignment horizontal="center" vertical="center"/>
      <protection hidden="1"/>
    </xf>
    <xf numFmtId="9" fontId="2" fillId="2" borderId="0" xfId="2" applyNumberFormat="1" applyFill="1" applyAlignment="1" applyProtection="1">
      <alignment horizontal="center"/>
      <protection hidden="1"/>
    </xf>
    <xf numFmtId="0" fontId="7" fillId="4" borderId="5" xfId="2" applyFont="1" applyFill="1" applyBorder="1" applyAlignment="1" applyProtection="1">
      <alignment horizontal="center" vertical="center"/>
      <protection locked="0"/>
    </xf>
    <xf numFmtId="0" fontId="7" fillId="4" borderId="5" xfId="2" applyFont="1" applyFill="1" applyBorder="1" applyAlignment="1" applyProtection="1">
      <alignment vertical="center" wrapText="1"/>
      <protection hidden="1"/>
    </xf>
    <xf numFmtId="0" fontId="3" fillId="4" borderId="5" xfId="2" applyFont="1" applyFill="1" applyBorder="1" applyAlignment="1" applyProtection="1">
      <alignment horizontal="center" vertical="center" wrapText="1"/>
      <protection hidden="1"/>
    </xf>
    <xf numFmtId="0" fontId="8" fillId="4" borderId="5" xfId="2" applyFont="1" applyFill="1" applyBorder="1" applyAlignment="1" applyProtection="1">
      <alignment horizontal="center" vertical="center"/>
      <protection hidden="1"/>
    </xf>
    <xf numFmtId="9" fontId="9" fillId="4" borderId="5" xfId="2" applyNumberFormat="1" applyFont="1" applyFill="1" applyBorder="1" applyAlignment="1" applyProtection="1">
      <alignment horizontal="center" vertical="center" wrapText="1"/>
      <protection hidden="1"/>
    </xf>
    <xf numFmtId="0" fontId="10" fillId="4" borderId="5" xfId="2" applyFont="1" applyFill="1" applyBorder="1" applyAlignment="1" applyProtection="1">
      <alignment horizontal="center" vertical="center" wrapText="1"/>
      <protection hidden="1"/>
    </xf>
    <xf numFmtId="0" fontId="11" fillId="4" borderId="5" xfId="2" applyFont="1" applyFill="1" applyBorder="1" applyAlignment="1" applyProtection="1">
      <alignment horizontal="center" vertical="center" wrapText="1"/>
      <protection hidden="1"/>
    </xf>
    <xf numFmtId="0" fontId="10" fillId="5" borderId="5" xfId="2" applyFont="1" applyFill="1" applyBorder="1" applyAlignment="1" applyProtection="1">
      <alignment horizontal="center" vertical="center" wrapText="1"/>
      <protection hidden="1"/>
    </xf>
    <xf numFmtId="0" fontId="10" fillId="7" borderId="5" xfId="2" applyFont="1" applyFill="1" applyBorder="1" applyAlignment="1" applyProtection="1">
      <alignment horizontal="center" vertical="center" wrapText="1"/>
      <protection hidden="1"/>
    </xf>
    <xf numFmtId="0" fontId="3" fillId="4" borderId="5" xfId="2" applyFont="1" applyFill="1" applyBorder="1" applyAlignment="1" applyProtection="1">
      <alignment horizontal="center" vertical="center"/>
      <protection hidden="1"/>
    </xf>
    <xf numFmtId="9" fontId="9" fillId="4" borderId="5" xfId="1" applyFont="1" applyFill="1" applyBorder="1" applyAlignment="1" applyProtection="1">
      <alignment horizontal="center" vertical="center" wrapText="1"/>
      <protection hidden="1"/>
    </xf>
    <xf numFmtId="0" fontId="10" fillId="6" borderId="5" xfId="2" applyFont="1" applyFill="1" applyBorder="1" applyAlignment="1" applyProtection="1">
      <alignment horizontal="center" vertical="center" wrapText="1"/>
      <protection hidden="1"/>
    </xf>
    <xf numFmtId="0" fontId="2" fillId="4" borderId="0" xfId="2" applyFill="1" applyProtection="1">
      <protection hidden="1"/>
    </xf>
    <xf numFmtId="0" fontId="2" fillId="4" borderId="0" xfId="2" applyFill="1" applyAlignment="1" applyProtection="1">
      <alignment horizontal="right"/>
      <protection hidden="1"/>
    </xf>
    <xf numFmtId="0" fontId="2" fillId="4" borderId="0" xfId="2" applyFill="1" applyAlignment="1" applyProtection="1">
      <alignment horizontal="center" vertical="center"/>
      <protection hidden="1"/>
    </xf>
    <xf numFmtId="0" fontId="11" fillId="4" borderId="16" xfId="2" applyFont="1" applyFill="1" applyBorder="1" applyAlignment="1" applyProtection="1">
      <alignment horizontal="center" vertical="center" wrapText="1"/>
      <protection hidden="1"/>
    </xf>
    <xf numFmtId="9" fontId="9" fillId="4" borderId="16" xfId="2" applyNumberFormat="1" applyFont="1" applyFill="1" applyBorder="1" applyAlignment="1" applyProtection="1">
      <alignment horizontal="center" vertical="center" wrapText="1"/>
      <protection hidden="1"/>
    </xf>
    <xf numFmtId="0" fontId="2" fillId="2" borderId="4" xfId="2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4" fillId="2" borderId="0" xfId="2" applyFont="1" applyFill="1" applyBorder="1" applyAlignment="1" applyProtection="1">
      <alignment horizontal="center" vertical="center" wrapText="1"/>
      <protection locked="0"/>
    </xf>
    <xf numFmtId="0" fontId="2" fillId="2" borderId="0" xfId="2" applyFill="1" applyBorder="1" applyAlignment="1" applyProtection="1">
      <alignment vertical="top"/>
      <protection locked="0"/>
    </xf>
    <xf numFmtId="0" fontId="3" fillId="2" borderId="0" xfId="2" applyFont="1" applyFill="1" applyBorder="1" applyAlignment="1" applyProtection="1">
      <alignment horizontal="center" vertical="center"/>
      <protection locked="0"/>
    </xf>
    <xf numFmtId="0" fontId="2" fillId="2" borderId="0" xfId="2" applyFill="1" applyBorder="1" applyAlignment="1" applyProtection="1">
      <alignment horizontal="center" vertical="center"/>
      <protection locked="0"/>
    </xf>
    <xf numFmtId="14" fontId="2" fillId="2" borderId="0" xfId="2" applyNumberFormat="1" applyFill="1" applyBorder="1" applyAlignment="1" applyProtection="1">
      <alignment horizontal="center" vertical="center"/>
      <protection locked="0"/>
    </xf>
    <xf numFmtId="0" fontId="2" fillId="2" borderId="0" xfId="2" applyFill="1" applyBorder="1" applyAlignment="1" applyProtection="1">
      <alignment horizontal="center" vertical="center" wrapText="1"/>
      <protection locked="0"/>
    </xf>
    <xf numFmtId="0" fontId="2" fillId="2" borderId="0" xfId="2" applyFill="1" applyBorder="1" applyProtection="1"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9" fontId="0" fillId="2" borderId="4" xfId="0" applyNumberFormat="1" applyFill="1" applyBorder="1" applyAlignment="1">
      <alignment vertical="center" wrapText="1"/>
    </xf>
    <xf numFmtId="9" fontId="0" fillId="2" borderId="4" xfId="0" applyNumberFormat="1" applyFill="1" applyBorder="1" applyAlignment="1">
      <alignment horizontal="center" vertical="center" wrapText="1"/>
    </xf>
    <xf numFmtId="17" fontId="2" fillId="2" borderId="4" xfId="2" applyNumberFormat="1" applyFill="1" applyBorder="1" applyAlignment="1" applyProtection="1">
      <alignment horizontal="center" vertical="center" wrapText="1"/>
      <protection locked="0"/>
    </xf>
    <xf numFmtId="0" fontId="4" fillId="3" borderId="4" xfId="2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>
      <alignment horizontal="center" vertical="center" wrapText="1"/>
    </xf>
    <xf numFmtId="0" fontId="7" fillId="4" borderId="0" xfId="2" quotePrefix="1" applyFont="1" applyFill="1" applyProtection="1">
      <protection hidden="1"/>
    </xf>
    <xf numFmtId="0" fontId="2" fillId="2" borderId="2" xfId="2" applyFill="1" applyBorder="1" applyAlignment="1" applyProtection="1">
      <alignment horizontal="center" vertical="center" wrapText="1"/>
      <protection locked="0"/>
    </xf>
    <xf numFmtId="0" fontId="2" fillId="2" borderId="3" xfId="2" applyFill="1" applyBorder="1" applyAlignment="1" applyProtection="1">
      <alignment horizontal="center" vertical="center" wrapText="1"/>
      <protection locked="0"/>
    </xf>
    <xf numFmtId="0" fontId="2" fillId="2" borderId="1" xfId="2" applyFill="1" applyBorder="1" applyAlignment="1" applyProtection="1">
      <alignment horizontal="center" vertical="center" wrapText="1"/>
      <protection locked="0"/>
    </xf>
    <xf numFmtId="0" fontId="2" fillId="2" borderId="4" xfId="2" applyFill="1" applyBorder="1" applyAlignment="1" applyProtection="1">
      <alignment horizontal="center" vertical="center" wrapText="1"/>
      <protection locked="0"/>
    </xf>
    <xf numFmtId="0" fontId="3" fillId="4" borderId="13" xfId="2" applyFont="1" applyFill="1" applyBorder="1" applyAlignment="1" applyProtection="1">
      <alignment horizontal="center" vertical="center"/>
      <protection hidden="1"/>
    </xf>
    <xf numFmtId="0" fontId="3" fillId="4" borderId="9" xfId="2" applyFont="1" applyFill="1" applyBorder="1" applyAlignment="1" applyProtection="1">
      <alignment horizontal="center" vertical="center"/>
      <protection hidden="1"/>
    </xf>
    <xf numFmtId="0" fontId="3" fillId="4" borderId="14" xfId="2" applyFont="1" applyFill="1" applyBorder="1" applyAlignment="1" applyProtection="1">
      <alignment horizontal="center" vertical="center" wrapText="1"/>
      <protection hidden="1"/>
    </xf>
    <xf numFmtId="0" fontId="3" fillId="4" borderId="15" xfId="2" applyFont="1" applyFill="1" applyBorder="1" applyAlignment="1" applyProtection="1">
      <alignment horizontal="center" vertical="center" wrapText="1"/>
      <protection hidden="1"/>
    </xf>
    <xf numFmtId="0" fontId="3" fillId="4" borderId="7" xfId="2" applyFont="1" applyFill="1" applyBorder="1" applyAlignment="1" applyProtection="1">
      <alignment horizontal="center" vertical="center" wrapText="1"/>
      <protection hidden="1"/>
    </xf>
    <xf numFmtId="0" fontId="3" fillId="4" borderId="12" xfId="2" applyFont="1" applyFill="1" applyBorder="1" applyAlignment="1" applyProtection="1">
      <alignment horizontal="center" vertical="center"/>
      <protection hidden="1"/>
    </xf>
    <xf numFmtId="0" fontId="3" fillId="4" borderId="11" xfId="2" applyFont="1" applyFill="1" applyBorder="1" applyAlignment="1" applyProtection="1">
      <alignment horizontal="center" vertical="center"/>
      <protection hidden="1"/>
    </xf>
    <xf numFmtId="0" fontId="3" fillId="4" borderId="10" xfId="2" applyFont="1" applyFill="1" applyBorder="1" applyAlignment="1" applyProtection="1">
      <alignment horizontal="center" vertical="center"/>
      <protection hidden="1"/>
    </xf>
    <xf numFmtId="0" fontId="3" fillId="4" borderId="8" xfId="2" applyFont="1" applyFill="1" applyBorder="1" applyAlignment="1" applyProtection="1">
      <alignment horizontal="center" vertical="center"/>
      <protection hidden="1"/>
    </xf>
    <xf numFmtId="0" fontId="3" fillId="4" borderId="7" xfId="2" applyFont="1" applyFill="1" applyBorder="1" applyAlignment="1" applyProtection="1">
      <alignment horizontal="center" vertical="center"/>
      <protection hidden="1"/>
    </xf>
    <xf numFmtId="0" fontId="3" fillId="4" borderId="6" xfId="2" applyFont="1" applyFill="1" applyBorder="1" applyAlignment="1" applyProtection="1">
      <alignment horizontal="center" vertical="center"/>
      <protection hidden="1"/>
    </xf>
    <xf numFmtId="0" fontId="3" fillId="4" borderId="5" xfId="2" applyFont="1" applyFill="1" applyBorder="1" applyAlignment="1" applyProtection="1">
      <alignment horizontal="center" vertical="center"/>
      <protection hidden="1"/>
    </xf>
    <xf numFmtId="0" fontId="3" fillId="4" borderId="5" xfId="2" applyFont="1" applyFill="1" applyBorder="1" applyAlignment="1" applyProtection="1">
      <alignment horizontal="center" vertical="center" wrapText="1"/>
      <protection hidden="1"/>
    </xf>
    <xf numFmtId="0" fontId="5" fillId="3" borderId="2" xfId="2" applyFont="1" applyFill="1" applyBorder="1" applyAlignment="1" applyProtection="1">
      <alignment horizontal="center" vertical="center" wrapText="1"/>
      <protection locked="0"/>
    </xf>
    <xf numFmtId="0" fontId="5" fillId="3" borderId="3" xfId="2" applyFont="1" applyFill="1" applyBorder="1" applyAlignment="1" applyProtection="1">
      <alignment horizontal="center" vertical="center" wrapText="1"/>
      <protection locked="0"/>
    </xf>
    <xf numFmtId="0" fontId="5" fillId="3" borderId="1" xfId="2" applyFont="1" applyFill="1" applyBorder="1" applyAlignment="1" applyProtection="1">
      <alignment horizontal="center" vertical="center" wrapText="1"/>
      <protection locked="0"/>
    </xf>
    <xf numFmtId="0" fontId="4" fillId="3" borderId="4" xfId="2" applyFont="1" applyFill="1" applyBorder="1" applyAlignment="1" applyProtection="1">
      <alignment horizontal="center" vertical="center" wrapText="1"/>
      <protection locked="0"/>
    </xf>
    <xf numFmtId="0" fontId="3" fillId="4" borderId="12" xfId="2" applyFont="1" applyFill="1" applyBorder="1" applyAlignment="1" applyProtection="1">
      <alignment horizontal="center" vertical="center" wrapText="1"/>
      <protection hidden="1"/>
    </xf>
    <xf numFmtId="0" fontId="3" fillId="4" borderId="11" xfId="2" applyFont="1" applyFill="1" applyBorder="1" applyAlignment="1" applyProtection="1">
      <alignment horizontal="center" vertical="center" wrapText="1"/>
      <protection hidden="1"/>
    </xf>
    <xf numFmtId="0" fontId="3" fillId="4" borderId="10" xfId="2" applyFont="1" applyFill="1" applyBorder="1" applyAlignment="1" applyProtection="1">
      <alignment horizontal="center" vertical="center" wrapText="1"/>
      <protection hidden="1"/>
    </xf>
    <xf numFmtId="0" fontId="3" fillId="4" borderId="8" xfId="2" applyFont="1" applyFill="1" applyBorder="1" applyAlignment="1" applyProtection="1">
      <alignment horizontal="center" vertical="center" wrapText="1"/>
      <protection hidden="1"/>
    </xf>
    <xf numFmtId="0" fontId="3" fillId="4" borderId="6" xfId="2" applyFont="1" applyFill="1" applyBorder="1" applyAlignment="1" applyProtection="1">
      <alignment horizontal="center" vertical="center" wrapText="1"/>
      <protection hidden="1"/>
    </xf>
  </cellXfs>
  <cellStyles count="4">
    <cellStyle name="Normal" xfId="0" builtinId="0"/>
    <cellStyle name="Normal 2" xfId="2"/>
    <cellStyle name="Porcentaje" xfId="1" builtinId="5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('IND1'!$M$3,'IND1'!$M$3,'IND1'!$M$3,'IND1'!$M$3,'IND1'!$M$3,'IND1'!$M$3,'IND1'!$M$3,'IND1'!$M$3,'IND1'!$M$3,'IND1'!$M$3,'IND1'!$M$3,'IND1'!$M$3)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8-4557-95B3-9F9FCA94DAC4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('IND1'!$L$3,'IND1'!$L$3,'IND1'!$L$3,'IND1'!$L$3,'IND1'!$L$3,'IND1'!$L$3,'IND1'!$L$3,'IND1'!$L$3,'IND1'!$L$3,'IND1'!$L$3,'IND1'!$L$3,'IND1'!$L$3)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8-4557-95B3-9F9FCA94DAC4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('IND1'!$K$3,'IND1'!$K$3,'IND1'!$K$3,'IND1'!$K$3,'IND1'!$K$3,'IND1'!$K$3,'IND1'!$K$3,'IND1'!$K$3,'IND1'!$K$3,'IND1'!$K$3,'IND1'!$K$3,'IND1'!$K$3)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8-4557-95B3-9F9FCA94D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18-4557-95B3-9F9FCA94D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3-4FF5-B753-D23EFCE3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('IND1'!$J$3,'IND1'!$J$3,'IND1'!$J$3,'IND1'!$J$3,'IND1'!$J$3,'IND1'!$J$3,'IND1'!$J$3,'IND1'!$J$3,'IND1'!$J$3,'IND1'!$J$3,'IND1'!$J$3,'IND1'!$J$3)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3-4FF5-B753-D23EFCE3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99-49FE-995F-18B846217AA5}"/>
            </c:ext>
          </c:extLst>
        </c:ser>
        <c:ser>
          <c:idx val="3"/>
          <c:order val="3"/>
          <c:tx>
            <c:strRef>
              <c:f>'IND1'!$L$2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99-49FE-995F-18B846217AA5}"/>
            </c:ext>
          </c:extLst>
        </c:ser>
        <c:ser>
          <c:idx val="4"/>
          <c:order val="4"/>
          <c:tx>
            <c:strRef>
              <c:f>'IND1'!$K$2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99-49FE-995F-18B84621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99-49FE-995F-18B846217AA5}"/>
              </c:ext>
            </c:extLst>
          </c:dPt>
          <c:val>
            <c:numRef>
              <c:f>'IND1'!$I$3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9-49FE-995F-18B84621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'IND1'!$J$3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9-49FE-995F-18B84621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('IND2'!$M$3,'IND2'!$M$3,'IND2'!$M$3,'IND2'!$M$3,'IND2'!$M$3,'IND2'!$M$3,'IND2'!$M$3,'IND2'!$M$3,'IND2'!$M$3,'IND2'!$M$3,'IND2'!$M$3,'IND2'!$M$3)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512-B3EF-BC05FE43A8E6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('IND2'!$L$3,'IND2'!$L$3,'IND2'!$L$3,'IND2'!$L$3,'IND2'!$L$3,'IND2'!$L$3,'IND2'!$L$3,'IND2'!$L$3,'IND2'!$L$3,'IND2'!$L$3,'IND2'!$L$3,'IND2'!$L$3)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9-4512-B3EF-BC05FE43A8E6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('IND2'!$K$3,'IND2'!$K$3,'IND2'!$K$3,'IND2'!$K$3,'IND2'!$K$3,'IND2'!$K$3,'IND2'!$K$3,'IND2'!$K$3,'IND2'!$K$3,'IND2'!$K$3,'IND2'!$K$3,'IND2'!$K$3)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9-4512-B3EF-BC05FE43A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'IND2'!$C$8:$N$8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89-4512-B3EF-BC05FE43A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'IND2'!$B$8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'IND2'!$C$8:$N$8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7-422A-92EF-11A2B18FB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('IND2'!$J$3,'IND2'!$J$3,'IND2'!$J$3,'IND2'!$J$3,'IND2'!$J$3,'IND2'!$J$3,'IND2'!$J$3,'IND2'!$J$3,'IND2'!$J$3,'IND2'!$J$3,'IND2'!$J$3,'IND2'!$J$3)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7-422A-92EF-11A2B18FB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'IND2'!$M$2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'IND2'!$M$3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3-438B-AFA4-92FC6D28DA39}"/>
            </c:ext>
          </c:extLst>
        </c:ser>
        <c:ser>
          <c:idx val="3"/>
          <c:order val="3"/>
          <c:tx>
            <c:strRef>
              <c:f>'IND2'!$L$2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'IND2'!$L$3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3-438B-AFA4-92FC6D28DA39}"/>
            </c:ext>
          </c:extLst>
        </c:ser>
        <c:ser>
          <c:idx val="4"/>
          <c:order val="4"/>
          <c:tx>
            <c:strRef>
              <c:f>'IND2'!$K$2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'IND2'!$K$3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3-438B-AFA4-92FC6D28D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'IND2'!$I$2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5003-438B-AFA4-92FC6D28DA39}"/>
              </c:ext>
            </c:extLst>
          </c:dPt>
          <c:val>
            <c:numRef>
              <c:f>'IND2'!$I$3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03-438B-AFA4-92FC6D28D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'IND2'!$J$2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'IND2'!$J$3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03-438B-AFA4-92FC6D28D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('IND3'!$M$3,'IND3'!$M$3,'IND3'!$M$3,'IND3'!$M$3,'IND3'!$M$3,'IND3'!$M$3,'IND3'!$M$3,'IND3'!$M$3,'IND3'!$M$3,'IND3'!$M$3,'IND3'!$M$3,'IND3'!$M$3)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6-4A10-BA0E-E01EF2E4B37D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('IND3'!$L$3,'IND3'!$L$3,'IND3'!$L$3,'IND3'!$L$3,'IND3'!$L$3,'IND3'!$L$3,'IND3'!$L$3,'IND3'!$L$3,'IND3'!$L$3,'IND3'!$L$3,'IND3'!$L$3,'IND3'!$L$3)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6-4A10-BA0E-E01EF2E4B37D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('IND3'!$K$3,'IND3'!$K$3,'IND3'!$K$3,'IND3'!$K$3,'IND3'!$K$3,'IND3'!$K$3,'IND3'!$K$3,'IND3'!$K$3,'IND3'!$K$3,'IND3'!$K$3,'IND3'!$K$3,'IND3'!$K$3)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6-4A10-BA0E-E01EF2E4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'IND3'!$C$8:$N$8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E6-4A10-BA0E-E01EF2E4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'IND3'!$B$8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'IND3'!$C$8:$N$8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7-4FFA-B2E0-80B4A14D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('IND3'!$J$3,'IND3'!$J$3,'IND3'!$J$3,'IND3'!$J$3,'IND3'!$J$3,'IND3'!$J$3,'IND3'!$J$3,'IND3'!$J$3,'IND3'!$J$3,'IND3'!$J$3,'IND3'!$J$3,'IND3'!$J$3)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7-4FFA-B2E0-80B4A14D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'IND3'!$M$2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'IND3'!$M$3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4-4CD4-9378-8CEB01B7014F}"/>
            </c:ext>
          </c:extLst>
        </c:ser>
        <c:ser>
          <c:idx val="3"/>
          <c:order val="3"/>
          <c:tx>
            <c:strRef>
              <c:f>'IND3'!$L$2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'IND3'!$L$3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4-4CD4-9378-8CEB01B7014F}"/>
            </c:ext>
          </c:extLst>
        </c:ser>
        <c:ser>
          <c:idx val="4"/>
          <c:order val="4"/>
          <c:tx>
            <c:strRef>
              <c:f>'IND3'!$K$2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'IND3'!$K$3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4-4CD4-9378-8CEB01B7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'IND3'!$I$2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54-4CD4-9378-8CEB01B7014F}"/>
              </c:ext>
            </c:extLst>
          </c:dPt>
          <c:val>
            <c:numRef>
              <c:f>'IND3'!$I$3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54-4CD4-9378-8CEB01B7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'IND3'!$J$2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'IND3'!$J$3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54-4CD4-9378-8CEB01B7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('IND4'!$M$3,'IND4'!$M$3,'IND4'!$M$3,'IND4'!$M$3,'IND4'!$M$3,'IND4'!$M$3,'IND4'!$M$3,'IND4'!$M$3,'IND4'!$M$3,'IND4'!$M$3,'IND4'!$M$3,'IND4'!$M$3)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A-40C1-A764-CB40C20031F9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('IND4'!$L$3,'IND4'!$L$3,'IND4'!$L$3,'IND4'!$L$3,'IND4'!$L$3,'IND4'!$L$3,'IND4'!$L$3,'IND4'!$L$3,'IND4'!$L$3,'IND4'!$L$3,'IND4'!$L$3,'IND4'!$L$3)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A-40C1-A764-CB40C20031F9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('IND4'!$K$3,'IND4'!$K$3,'IND4'!$K$3,'IND4'!$K$3,'IND4'!$K$3,'IND4'!$K$3,'IND4'!$K$3,'IND4'!$K$3,'IND4'!$K$3,'IND4'!$K$3,'IND4'!$K$3,'IND4'!$K$3)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A-40C1-A764-CB40C200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'IND4'!$C$8:$N$8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BA-40C1-A764-CB40C200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'IND4'!$B$8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'IND4'!$C$8:$N$8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F-4DB0-824A-B7A5DCB4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('IND4'!$J$3,'IND4'!$J$3,'IND4'!$J$3,'IND4'!$J$3,'IND4'!$J$3,'IND4'!$J$3,'IND4'!$J$3,'IND4'!$J$3,'IND4'!$J$3,'IND4'!$J$3,'IND4'!$J$3,'IND4'!$J$3)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F-4DB0-824A-B7A5DCB4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'IND4'!$M$2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7-4A79-B02C-C9D9B31082D4}"/>
            </c:ext>
          </c:extLst>
        </c:ser>
        <c:ser>
          <c:idx val="3"/>
          <c:order val="3"/>
          <c:tx>
            <c:strRef>
              <c:f>'IND4'!$L$2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7-4A79-B02C-C9D9B31082D4}"/>
            </c:ext>
          </c:extLst>
        </c:ser>
        <c:ser>
          <c:idx val="4"/>
          <c:order val="4"/>
          <c:tx>
            <c:strRef>
              <c:f>'IND4'!$K$2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7-4A79-B02C-C9D9B310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'IND4'!$I$2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17-4A79-B02C-C9D9B31082D4}"/>
              </c:ext>
            </c:extLst>
          </c:dPt>
          <c:val>
            <c:numRef>
              <c:f>'IND4'!$I$3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17-4A79-B02C-C9D9B310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'IND4'!$J$2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'IND4'!$J$3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17-4A79-B02C-C9D9B310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('IND5'!$M$3,'IND5'!$M$3,'IND5'!$M$3,'IND5'!$M$3,'IND5'!$M$3,'IND5'!$M$3,'IND5'!$M$3,'IND5'!$M$3,'IND5'!$M$3,'IND5'!$M$3,'IND5'!$M$3,'IND5'!$M$3)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6-473F-B5A8-3552FFC10874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('IND5'!$L$3,'IND5'!$L$3,'IND5'!$L$3,'IND5'!$L$3,'IND5'!$L$3,'IND5'!$L$3,'IND5'!$L$3,'IND5'!$L$3,'IND5'!$L$3,'IND5'!$L$3,'IND5'!$L$3,'IND5'!$L$3)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6-473F-B5A8-3552FFC10874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('IND5'!$K$3,'IND5'!$K$3,'IND5'!$K$3,'IND5'!$K$3,'IND5'!$K$3,'IND5'!$K$3,'IND5'!$K$3,'IND5'!$K$3,'IND5'!$K$3,'IND5'!$K$3,'IND5'!$K$3,'IND5'!$K$3)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6-473F-B5A8-3552FFC1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'IND5'!$C$8:$N$8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C6-473F-B5A8-3552FFC1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'IND5'!$B$8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'IND5'!$C$8:$N$8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9-4056-BC71-CA56029A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('IND5'!$J$3,'IND5'!$J$3,'IND5'!$J$3,'IND5'!$J$3,'IND5'!$J$3,'IND5'!$J$3,'IND5'!$J$3,'IND5'!$J$3,'IND5'!$J$3,'IND5'!$J$3,'IND5'!$J$3,'IND5'!$J$3)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9-4056-BC71-CA56029A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'IND5'!$M$2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8-4C2A-B5CE-8711383A44E0}"/>
            </c:ext>
          </c:extLst>
        </c:ser>
        <c:ser>
          <c:idx val="3"/>
          <c:order val="3"/>
          <c:tx>
            <c:strRef>
              <c:f>'IND5'!$L$2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8-4C2A-B5CE-8711383A44E0}"/>
            </c:ext>
          </c:extLst>
        </c:ser>
        <c:ser>
          <c:idx val="4"/>
          <c:order val="4"/>
          <c:tx>
            <c:strRef>
              <c:f>'IND5'!$K$2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8-4C2A-B5CE-8711383A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'IND5'!$I$2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B8-4C2A-B5CE-8711383A44E0}"/>
              </c:ext>
            </c:extLst>
          </c:dPt>
          <c:val>
            <c:numRef>
              <c:f>'IND5'!$I$3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8-4C2A-B5CE-8711383A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'IND5'!$J$2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'IND5'!$J$3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B8-4C2A-B5CE-8711383A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'IND6'!$C$5:$N$5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('IND6'!$M$3,'IND6'!$M$3,'IND6'!$M$3,'IND6'!$M$3,'IND6'!$M$3,'IND6'!$M$3,'IND6'!$M$3,'IND6'!$M$3,'IND6'!$M$3,'IND6'!$M$3,'IND6'!$M$3,'IND6'!$M$3)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1-42DF-ACFF-8BA806B5D05E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'IND6'!$C$5:$N$5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('IND6'!$L$3,'IND6'!$L$3,'IND6'!$L$3,'IND6'!$L$3,'IND6'!$L$3,'IND6'!$L$3,'IND6'!$L$3,'IND6'!$L$3,'IND6'!$L$3,'IND6'!$L$3,'IND6'!$L$3,'IND6'!$L$3)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1-42DF-ACFF-8BA806B5D05E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'IND6'!$C$5:$N$5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('IND6'!$K$3,'IND6'!$K$3,'IND6'!$K$3,'IND6'!$K$3,'IND6'!$K$3,'IND6'!$K$3,'IND6'!$K$3,'IND6'!$K$3,'IND6'!$K$3,'IND6'!$K$3,'IND6'!$K$3,'IND6'!$K$3)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1-42DF-ACFF-8BA806B5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'IND6'!$C$8:$N$8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31-42DF-ACFF-8BA806B5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'IND6'!$B$8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'IND6'!$C$5:$N$5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'IND6'!$C$8:$N$8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3-4442-AC8B-38FBF940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'IND6'!$C$5:$N$5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('IND6'!$J$3,'IND6'!$J$3,'IND6'!$J$3,'IND6'!$J$3,'IND6'!$J$3,'IND6'!$J$3,'IND6'!$J$3,'IND6'!$J$3,'IND6'!$J$3,'IND6'!$J$3,'IND6'!$J$3,'IND6'!$J$3)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3-4442-AC8B-38FBF940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'IND6'!$M$2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3-4EEF-8732-ED48FEA974CD}"/>
            </c:ext>
          </c:extLst>
        </c:ser>
        <c:ser>
          <c:idx val="3"/>
          <c:order val="3"/>
          <c:tx>
            <c:strRef>
              <c:f>'IND6'!$L$2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3-4EEF-8732-ED48FEA974CD}"/>
            </c:ext>
          </c:extLst>
        </c:ser>
        <c:ser>
          <c:idx val="4"/>
          <c:order val="4"/>
          <c:tx>
            <c:strRef>
              <c:f>'IND6'!$K$2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3-4EEF-8732-ED48FEA9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'IND6'!$I$2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23-4EEF-8732-ED48FEA974CD}"/>
              </c:ext>
            </c:extLst>
          </c:dPt>
          <c:val>
            <c:numRef>
              <c:f>'IND6'!$I$3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23-4EEF-8732-ED48FEA9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'IND6'!$J$2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'IND6'!$J$3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23-4EEF-8732-ED48FEA9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'IND7'!$C$5:$N$5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('IND7'!$M$3,'IND7'!$M$3,'IND7'!$M$3,'IND7'!$M$3,'IND7'!$M$3,'IND7'!$M$3,'IND7'!$M$3,'IND7'!$M$3,'IND7'!$M$3,'IND7'!$M$3,'IND7'!$M$3,'IND7'!$M$3)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9-4451-8BF1-457AD549BB4A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'IND7'!$C$5:$N$5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('IND7'!$L$3,'IND7'!$L$3,'IND7'!$L$3,'IND7'!$L$3,'IND7'!$L$3,'IND7'!$L$3,'IND7'!$L$3,'IND7'!$L$3,'IND7'!$L$3,'IND7'!$L$3,'IND7'!$L$3,'IND7'!$L$3)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9-4451-8BF1-457AD549BB4A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'IND7'!$C$5:$N$5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('IND7'!$K$3,'IND7'!$K$3,'IND7'!$K$3,'IND7'!$K$3,'IND7'!$K$3,'IND7'!$K$3,'IND7'!$K$3,'IND7'!$K$3,'IND7'!$K$3,'IND7'!$K$3,'IND7'!$K$3,'IND7'!$K$3)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9-4451-8BF1-457AD549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'IND7'!$C$8:$N$8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D9-4451-8BF1-457AD549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'IND7'!$B$8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'IND7'!$C$5:$N$5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'IND7'!$C$8:$N$8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B-40F6-A9F3-09CD9F27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'IND7'!$C$5:$N$5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('IND7'!$J$3,'IND7'!$J$3,'IND7'!$J$3,'IND7'!$J$3,'IND7'!$J$3,'IND7'!$J$3,'IND7'!$J$3,'IND7'!$J$3,'IND7'!$J$3,'IND7'!$J$3,'IND7'!$J$3,'IND7'!$J$3)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B-40F6-A9F3-09CD9F27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'IND7'!$M$2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784-82E5-1AC770CBC07D}"/>
            </c:ext>
          </c:extLst>
        </c:ser>
        <c:ser>
          <c:idx val="3"/>
          <c:order val="3"/>
          <c:tx>
            <c:strRef>
              <c:f>'IND7'!$L$2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C-4784-82E5-1AC770CBC07D}"/>
            </c:ext>
          </c:extLst>
        </c:ser>
        <c:ser>
          <c:idx val="4"/>
          <c:order val="4"/>
          <c:tx>
            <c:strRef>
              <c:f>'IND7'!$K$2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C-4784-82E5-1AC770CBC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'IND7'!$I$2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6C-4784-82E5-1AC770CBC07D}"/>
              </c:ext>
            </c:extLst>
          </c:dPt>
          <c:val>
            <c:numRef>
              <c:f>'IND7'!$I$3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6C-4784-82E5-1AC770CBC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'IND7'!$J$2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'IND7'!$J$3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C-4784-82E5-1AC770CBC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'IND8'!$C$5:$N$5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('IND8'!$M$3,'IND8'!$M$3,'IND8'!$M$3,'IND8'!$M$3,'IND8'!$M$3,'IND8'!$M$3,'IND8'!$M$3,'IND8'!$M$3,'IND8'!$M$3,'IND8'!$M$3,'IND8'!$M$3,'IND8'!$M$3)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D-4DDE-B621-9F58D05863E7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'IND8'!$C$5:$N$5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('IND8'!$L$3,'IND8'!$L$3,'IND8'!$L$3,'IND8'!$L$3,'IND8'!$L$3,'IND8'!$L$3,'IND8'!$L$3,'IND8'!$L$3,'IND8'!$L$3,'IND8'!$L$3,'IND8'!$L$3,'IND8'!$L$3)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D-4DDE-B621-9F58D05863E7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'IND8'!$C$5:$N$5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('IND8'!$K$3,'IND8'!$K$3,'IND8'!$K$3,'IND8'!$K$3,'IND8'!$K$3,'IND8'!$K$3,'IND8'!$K$3,'IND8'!$K$3,'IND8'!$K$3,'IND8'!$K$3,'IND8'!$K$3,'IND8'!$K$3)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D-4DDE-B621-9F58D0586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'IND8'!$C$8:$N$8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DD-4DDE-B621-9F58D0586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'IND8'!$B$8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'IND8'!$C$5:$N$5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'IND8'!$C$8:$N$8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6-4B71-A9B7-1A23021C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'IND8'!$C$5:$N$5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('IND8'!$J$3,'IND8'!$J$3,'IND8'!$J$3,'IND8'!$J$3,'IND8'!$J$3,'IND8'!$J$3,'IND8'!$J$3,'IND8'!$J$3,'IND8'!$J$3,'IND8'!$J$3,'IND8'!$J$3,'IND8'!$J$3)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6-4B71-A9B7-1A23021C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'IND8'!$M$2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C-4068-B812-7B104A196482}"/>
            </c:ext>
          </c:extLst>
        </c:ser>
        <c:ser>
          <c:idx val="3"/>
          <c:order val="3"/>
          <c:tx>
            <c:strRef>
              <c:f>'IND8'!$L$2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C-4068-B812-7B104A196482}"/>
            </c:ext>
          </c:extLst>
        </c:ser>
        <c:ser>
          <c:idx val="4"/>
          <c:order val="4"/>
          <c:tx>
            <c:strRef>
              <c:f>'IND8'!$K$2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C-4068-B812-7B104A196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'IND8'!$I$2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8C-4068-B812-7B104A196482}"/>
              </c:ext>
            </c:extLst>
          </c:dPt>
          <c:val>
            <c:numRef>
              <c:f>'IND8'!$I$3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C-4068-B812-7B104A196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'IND8'!$J$2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'IND8'!$J$3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8C-4068-B812-7B104A196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'IND9'!$C$5:$N$5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('IND9'!$M$3,'IND9'!$M$3,'IND9'!$M$3,'IND9'!$M$3,'IND9'!$M$3,'IND9'!$M$3,'IND9'!$M$3,'IND9'!$M$3,'IND9'!$M$3,'IND9'!$M$3,'IND9'!$M$3,'IND9'!$M$3)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0-4787-8740-E5B5B23B84C2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'IND9'!$C$5:$N$5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('IND9'!$L$3,'IND9'!$L$3,'IND9'!$L$3,'IND9'!$L$3,'IND9'!$L$3,'IND9'!$L$3,'IND9'!$L$3,'IND9'!$L$3,'IND9'!$L$3,'IND9'!$L$3,'IND9'!$L$3,'IND9'!$L$3)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0-4787-8740-E5B5B23B84C2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'IND9'!$C$5:$N$5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('IND9'!$K$3,'IND9'!$K$3,'IND9'!$K$3,'IND9'!$K$3,'IND9'!$K$3,'IND9'!$K$3,'IND9'!$K$3,'IND9'!$K$3,'IND9'!$K$3,'IND9'!$K$3,'IND9'!$K$3,'IND9'!$K$3)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0-4787-8740-E5B5B23B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'IND9'!$C$8:$N$8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10-4787-8740-E5B5B23B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'IND9'!$B$8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'IND9'!$C$5:$N$5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'IND9'!$C$8:$N$8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4-479A-AF34-8B851597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'IND9'!$C$5:$N$5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('IND9'!$J$3,'IND9'!$J$3,'IND9'!$J$3,'IND9'!$J$3,'IND9'!$J$3,'IND9'!$J$3,'IND9'!$J$3,'IND9'!$J$3,'IND9'!$J$3,'IND9'!$J$3,'IND9'!$J$3,'IND9'!$J$3)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4-479A-AF34-8B851597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'IND9'!$M$2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D-4A6A-B7A1-CCB8D337C61A}"/>
            </c:ext>
          </c:extLst>
        </c:ser>
        <c:ser>
          <c:idx val="3"/>
          <c:order val="3"/>
          <c:tx>
            <c:strRef>
              <c:f>'IND9'!$L$2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D-4A6A-B7A1-CCB8D337C61A}"/>
            </c:ext>
          </c:extLst>
        </c:ser>
        <c:ser>
          <c:idx val="4"/>
          <c:order val="4"/>
          <c:tx>
            <c:strRef>
              <c:f>'IND9'!$K$2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D-4A6A-B7A1-CCB8D337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'IND9'!$I$2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5D-4A6A-B7A1-CCB8D337C61A}"/>
              </c:ext>
            </c:extLst>
          </c:dPt>
          <c:val>
            <c:numRef>
              <c:f>'IND9'!$I$3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5D-4A6A-B7A1-CCB8D337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'IND9'!$J$2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'IND9'!$J$3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5D-4A6A-B7A1-CCB8D337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'IND10'!$C$5:$N$5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('IND10'!$M$3,'IND10'!$M$3,'IND10'!$M$3,'IND10'!$M$3,'IND10'!$M$3,'IND10'!$M$3,'IND10'!$M$3,'IND10'!$M$3,'IND10'!$M$3,'IND10'!$M$3,'IND10'!$M$3,'IND10'!$M$3)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C-4FC1-9048-D10D2C7A0195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'IND10'!$C$5:$N$5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('IND10'!$L$3,'IND10'!$L$3,'IND10'!$L$3,'IND10'!$L$3,'IND10'!$L$3,'IND10'!$L$3,'IND10'!$L$3,'IND10'!$L$3,'IND10'!$L$3,'IND10'!$L$3,'IND10'!$L$3,'IND10'!$L$3)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C-4FC1-9048-D10D2C7A0195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'IND10'!$C$5:$N$5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('IND10'!$K$3,'IND10'!$K$3,'IND10'!$K$3,'IND10'!$K$3,'IND10'!$K$3,'IND10'!$K$3,'IND10'!$K$3,'IND10'!$K$3,'IND10'!$K$3,'IND10'!$K$3,'IND10'!$K$3,'IND10'!$K$3)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C-4FC1-9048-D10D2C7A0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'IND10'!$C$8:$N$8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CC-4FC1-9048-D10D2C7A0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'IND10'!$B$8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'IND10'!$C$5:$N$5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'IND10'!$C$8:$N$8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E-4CE7-8AE1-74D09FB00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'IND10'!$C$5:$N$5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('IND10'!$J$3,'IND10'!$J$3,'IND10'!$J$3,'IND10'!$J$3,'IND10'!$J$3,'IND10'!$J$3,'IND10'!$J$3,'IND10'!$J$3,'IND10'!$J$3,'IND10'!$J$3,'IND10'!$J$3,'IND10'!$J$3)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E-4CE7-8AE1-74D09FB00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'IND10'!$M$2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9-41B0-B42F-9C5437A37A0D}"/>
            </c:ext>
          </c:extLst>
        </c:ser>
        <c:ser>
          <c:idx val="3"/>
          <c:order val="3"/>
          <c:tx>
            <c:strRef>
              <c:f>'IND10'!$L$2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9-41B0-B42F-9C5437A37A0D}"/>
            </c:ext>
          </c:extLst>
        </c:ser>
        <c:ser>
          <c:idx val="4"/>
          <c:order val="4"/>
          <c:tx>
            <c:strRef>
              <c:f>'IND10'!$K$2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9-41B0-B42F-9C5437A37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'IND10'!$I$2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79-41B0-B42F-9C5437A37A0D}"/>
              </c:ext>
            </c:extLst>
          </c:dPt>
          <c:val>
            <c:numRef>
              <c:f>'IND10'!$I$3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79-41B0-B42F-9C5437A37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'IND10'!$J$2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'IND10'!$J$3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9-41B0-B42F-9C5437A37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('IND11'!$M$3,'IND11'!$M$3,'IND11'!$M$3,'IND11'!$M$3,'IND11'!$M$3,'IND11'!$M$3,'IND11'!$M$3,'IND11'!$M$3,'IND11'!$M$3,'IND11'!$M$3,'IND11'!$M$3,'IND11'!$M$3)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268-9972-1A26F09AA7C4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('IND11'!$L$3,'IND11'!$L$3,'IND11'!$L$3,'IND11'!$L$3,'IND11'!$L$3,'IND11'!$L$3,'IND11'!$L$3,'IND11'!$L$3,'IND11'!$L$3,'IND11'!$L$3,'IND11'!$L$3,'IND11'!$L$3)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268-9972-1A26F09AA7C4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('IND11'!$K$3,'IND11'!$K$3,'IND11'!$K$3,'IND11'!$K$3,'IND11'!$K$3,'IND11'!$K$3,'IND11'!$K$3,'IND11'!$K$3,'IND11'!$K$3,'IND11'!$K$3,'IND11'!$K$3,'IND11'!$K$3)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268-9972-1A26F09AA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'IND11'!$C$8:$N$8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30-4268-9972-1A26F09AA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'IND11'!$B$8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'IND11'!$C$8:$N$8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1-4F47-AF5B-7A2C268E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'IND11'!$C$5:$N$5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('IND11'!$J$3,'IND11'!$J$3,'IND11'!$J$3,'IND11'!$J$3,'IND11'!$J$3,'IND11'!$J$3,'IND11'!$J$3,'IND11'!$J$3,'IND11'!$J$3,'IND11'!$J$3,'IND11'!$J$3,'IND11'!$J$3)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1-4F47-AF5B-7A2C268E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'IND11'!$M$2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2-4DE0-A6FE-7A49166DC6B6}"/>
            </c:ext>
          </c:extLst>
        </c:ser>
        <c:ser>
          <c:idx val="3"/>
          <c:order val="3"/>
          <c:tx>
            <c:strRef>
              <c:f>'IND11'!$L$2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2-4DE0-A6FE-7A49166DC6B6}"/>
            </c:ext>
          </c:extLst>
        </c:ser>
        <c:ser>
          <c:idx val="4"/>
          <c:order val="4"/>
          <c:tx>
            <c:strRef>
              <c:f>'IND11'!$K$2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2-4DE0-A6FE-7A49166D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'IND11'!$I$2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F2-4DE0-A6FE-7A49166DC6B6}"/>
              </c:ext>
            </c:extLst>
          </c:dPt>
          <c:val>
            <c:numRef>
              <c:f>'IND11'!$I$3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F2-4DE0-A6FE-7A49166D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'IND11'!$J$2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'IND11'!$J$3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F2-4DE0-A6FE-7A49166D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('IND12'!$M$3,'IND12'!$M$3,'IND12'!$M$3,'IND12'!$M$3,'IND12'!$M$3,'IND12'!$M$3,'IND12'!$M$3,'IND12'!$M$3,'IND12'!$M$3,'IND12'!$M$3,'IND12'!$M$3,'IND12'!$M$3)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F-4496-B114-CF6CB22DF737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('IND12'!$L$3,'IND12'!$L$3,'IND12'!$L$3,'IND12'!$L$3,'IND12'!$L$3,'IND12'!$L$3,'IND12'!$L$3,'IND12'!$L$3,'IND12'!$L$3,'IND12'!$L$3,'IND12'!$L$3,'IND12'!$L$3)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F-4496-B114-CF6CB22DF737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('IND12'!$K$3,'IND12'!$K$3,'IND12'!$K$3,'IND12'!$K$3,'IND12'!$K$3,'IND12'!$K$3,'IND12'!$K$3,'IND12'!$K$3,'IND12'!$K$3,'IND12'!$K$3,'IND12'!$K$3,'IND12'!$K$3)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F-4496-B114-CF6CB22D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'IND12'!$C$8:$N$8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9F-4496-B114-CF6CB22D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'IND12'!$B$8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'IND12'!$C$8:$N$8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7-461E-98FB-5B70472FA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('IND12'!$J$3,'IND12'!$J$3,'IND12'!$J$3,'IND12'!$J$3,'IND12'!$J$3,'IND12'!$J$3,'IND12'!$J$3,'IND12'!$J$3,'IND12'!$J$3,'IND12'!$J$3,'IND12'!$J$3,'IND12'!$J$3)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7-461E-98FB-5B70472FA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'IND12'!$M$2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'IND12'!$M$3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B-4BC6-9BBA-637F9AC7102C}"/>
            </c:ext>
          </c:extLst>
        </c:ser>
        <c:ser>
          <c:idx val="3"/>
          <c:order val="3"/>
          <c:tx>
            <c:strRef>
              <c:f>'IND12'!$L$2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'IND12'!$L$3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B-4BC6-9BBA-637F9AC7102C}"/>
            </c:ext>
          </c:extLst>
        </c:ser>
        <c:ser>
          <c:idx val="4"/>
          <c:order val="4"/>
          <c:tx>
            <c:strRef>
              <c:f>'IND12'!$K$2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'IND12'!$K$3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0B-4BC6-9BBA-637F9AC7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'IND12'!$I$2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EC0B-4BC6-9BBA-637F9AC7102C}"/>
              </c:ext>
            </c:extLst>
          </c:dPt>
          <c:val>
            <c:numRef>
              <c:f>'IND12'!$I$3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0B-4BC6-9BBA-637F9AC7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'IND12'!$J$2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'IND12'!$J$3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0B-4BC6-9BBA-637F9AC7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('IND13'!$M$3,'IND13'!$M$3,'IND13'!$M$3,'IND13'!$M$3,'IND13'!$M$3,'IND13'!$M$3,'IND13'!$M$3,'IND13'!$M$3,'IND13'!$M$3,'IND13'!$M$3,'IND13'!$M$3,'IND13'!$M$3)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A-45E1-AF59-59F9C2C7877F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('IND13'!$L$3,'IND13'!$L$3,'IND13'!$L$3,'IND13'!$L$3,'IND13'!$L$3,'IND13'!$L$3,'IND13'!$L$3,'IND13'!$L$3,'IND13'!$L$3,'IND13'!$L$3,'IND13'!$L$3,'IND13'!$L$3)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A-45E1-AF59-59F9C2C7877F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('IND13'!$K$3,'IND13'!$K$3,'IND13'!$K$3,'IND13'!$K$3,'IND13'!$K$3,'IND13'!$K$3,'IND13'!$K$3,'IND13'!$K$3,'IND13'!$K$3,'IND13'!$K$3,'IND13'!$K$3,'IND13'!$K$3)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A-45E1-AF59-59F9C2C7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'IND13'!$C$8:$N$8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AA-45E1-AF59-59F9C2C7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'IND13'!$B$8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'IND13'!$C$8:$N$8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E-48E4-80B4-06D8428EC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('IND13'!$J$3,'IND13'!$J$3,'IND13'!$J$3,'IND13'!$J$3,'IND13'!$J$3,'IND13'!$J$3,'IND13'!$J$3,'IND13'!$J$3,'IND13'!$J$3,'IND13'!$J$3,'IND13'!$J$3,'IND13'!$J$3)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E-48E4-80B4-06D8428EC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'IND13'!$M$2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'IND13'!$M$3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4-43D1-854F-06562D6D87AC}"/>
            </c:ext>
          </c:extLst>
        </c:ser>
        <c:ser>
          <c:idx val="3"/>
          <c:order val="3"/>
          <c:tx>
            <c:strRef>
              <c:f>'IND13'!$L$2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'IND13'!$L$3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4-43D1-854F-06562D6D87AC}"/>
            </c:ext>
          </c:extLst>
        </c:ser>
        <c:ser>
          <c:idx val="4"/>
          <c:order val="4"/>
          <c:tx>
            <c:strRef>
              <c:f>'IND13'!$K$2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'IND13'!$K$3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4-43D1-854F-06562D6D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'IND13'!$I$2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64-43D1-854F-06562D6D87AC}"/>
              </c:ext>
            </c:extLst>
          </c:dPt>
          <c:val>
            <c:numRef>
              <c:f>'IND13'!$I$3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64-43D1-854F-06562D6D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'IND13'!$J$2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'IND13'!$J$3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64-43D1-854F-06562D6D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('IND14'!$M$3,'IND14'!$M$3,'IND14'!$M$3,'IND14'!$M$3,'IND14'!$M$3,'IND14'!$M$3,'IND14'!$M$3,'IND14'!$M$3,'IND14'!$M$3,'IND14'!$M$3,'IND14'!$M$3,'IND14'!$M$3)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1-4DA8-B5A2-851CEBACE961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('IND14'!$L$3,'IND14'!$L$3,'IND14'!$L$3,'IND14'!$L$3,'IND14'!$L$3,'IND14'!$L$3,'IND14'!$L$3,'IND14'!$L$3,'IND14'!$L$3,'IND14'!$L$3,'IND14'!$L$3,'IND14'!$L$3)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1-4DA8-B5A2-851CEBACE961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('IND14'!$K$3,'IND14'!$K$3,'IND14'!$K$3,'IND14'!$K$3,'IND14'!$K$3,'IND14'!$K$3,'IND14'!$K$3,'IND14'!$K$3,'IND14'!$K$3,'IND14'!$K$3,'IND14'!$K$3,'IND14'!$K$3)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E1-4DA8-B5A2-851CEBAC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'IND14'!$C$8:$N$8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1-4DA8-B5A2-851CEBAC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'IND14'!$B$8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'IND14'!$C$8:$N$8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3-4BA1-9A9B-FE07275C0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'IND14'!$C$5:$N$5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('IND14'!$J$3,'IND14'!$J$3,'IND14'!$J$3,'IND14'!$J$3,'IND14'!$J$3,'IND14'!$J$3,'IND14'!$J$3,'IND14'!$J$3,'IND14'!$J$3,'IND14'!$J$3,'IND14'!$J$3,'IND14'!$J$3)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3-4BA1-9A9B-FE07275C0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'IND14'!$M$2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0-4FF0-A98B-893B16041513}"/>
            </c:ext>
          </c:extLst>
        </c:ser>
        <c:ser>
          <c:idx val="3"/>
          <c:order val="3"/>
          <c:tx>
            <c:strRef>
              <c:f>'IND14'!$L$2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0-4FF0-A98B-893B16041513}"/>
            </c:ext>
          </c:extLst>
        </c:ser>
        <c:ser>
          <c:idx val="4"/>
          <c:order val="4"/>
          <c:tx>
            <c:strRef>
              <c:f>'IND14'!$K$2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0-4FF0-A98B-893B1604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'IND14'!$I$2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A0-4FF0-A98B-893B16041513}"/>
              </c:ext>
            </c:extLst>
          </c:dPt>
          <c:val>
            <c:numRef>
              <c:f>'IND14'!$I$3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A0-4FF0-A98B-893B1604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'IND14'!$J$2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'IND14'!$J$3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A0-4FF0-A98B-893B1604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('IND15'!$M$3,'IND15'!$M$3,'IND15'!$M$3,'IND15'!$M$3,'IND15'!$M$3,'IND15'!$M$3,'IND15'!$M$3,'IND15'!$M$3,'IND15'!$M$3,'IND15'!$M$3,'IND15'!$M$3,'IND15'!$M$3)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C-4175-948F-BD1AE7C434DC}"/>
            </c:ext>
          </c:extLst>
        </c:ser>
        <c:ser>
          <c:idx val="2"/>
          <c:order val="1"/>
          <c:spPr>
            <a:solidFill>
              <a:srgbClr val="FFFF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('IND15'!$L$3,'IND15'!$L$3,'IND15'!$L$3,'IND15'!$L$3,'IND15'!$L$3,'IND15'!$L$3,'IND15'!$L$3,'IND15'!$L$3,'IND15'!$L$3,'IND15'!$L$3,'IND15'!$L$3,'IND15'!$L$3)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C-4175-948F-BD1AE7C434DC}"/>
            </c:ext>
          </c:extLst>
        </c:ser>
        <c:ser>
          <c:idx val="1"/>
          <c:order val="2"/>
          <c:spPr>
            <a:solidFill>
              <a:srgbClr val="00B05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'IND15'!$C$5:$N$5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('IND15'!$K$3,'IND15'!$K$3,'IND15'!$K$3,'IND15'!$K$3,'IND15'!$K$3,'IND15'!$K$3,'IND15'!$K$3,'IND15'!$K$3,'IND15'!$K$3,'IND15'!$K$3,'IND15'!$K$3,'IND15'!$K$3)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C-4175-948F-BD1AE7C43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area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'IND15'!$C$8:$N$8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0C-4175-948F-BD1AE7C43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88288"/>
        <c:axId val="388687896"/>
      </c:scatterChart>
      <c:catAx>
        <c:axId val="38868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896"/>
        <c:crosses val="autoZero"/>
        <c:auto val="1"/>
        <c:lblAlgn val="ctr"/>
        <c:lblOffset val="100"/>
        <c:noMultiLvlLbl val="0"/>
      </c:catAx>
      <c:valAx>
        <c:axId val="388687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'IND15'!$B$8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'IND15'!$C$5:$N$5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'IND15'!$C$8:$N$8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0-42E2-9683-3B3C16B19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64928"/>
        <c:axId val="32955944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'IND15'!$C$5:$N$5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('IND15'!$J$3,'IND15'!$J$3,'IND15'!$J$3,'IND15'!$J$3,'IND15'!$J$3,'IND15'!$J$3,'IND15'!$J$3,'IND15'!$J$3,'IND15'!$J$3,'IND15'!$J$3,'IND15'!$J$3,'IND15'!$J$3)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0-42E2-9683-3B3C16B19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64928"/>
        <c:axId val="329559440"/>
      </c:lineChart>
      <c:catAx>
        <c:axId val="32956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9440"/>
        <c:crosses val="autoZero"/>
        <c:auto val="1"/>
        <c:lblAlgn val="ctr"/>
        <c:lblOffset val="100"/>
        <c:noMultiLvlLbl val="0"/>
      </c:catAx>
      <c:valAx>
        <c:axId val="32955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'IND15'!$M$2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'IND15'!$M$3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B-42F5-8F20-DD7FFF774070}"/>
            </c:ext>
          </c:extLst>
        </c:ser>
        <c:ser>
          <c:idx val="3"/>
          <c:order val="3"/>
          <c:tx>
            <c:strRef>
              <c:f>'IND15'!$L$2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'IND15'!$L$3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B-42F5-8F20-DD7FFF774070}"/>
            </c:ext>
          </c:extLst>
        </c:ser>
        <c:ser>
          <c:idx val="4"/>
          <c:order val="4"/>
          <c:tx>
            <c:strRef>
              <c:f>'IND15'!$K$2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'IND15'!$K$3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B-42F5-8F20-DD7FFF77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1326496"/>
        <c:axId val="2031319008"/>
      </c:barChart>
      <c:barChart>
        <c:barDir val="col"/>
        <c:grouping val="stacked"/>
        <c:varyColors val="0"/>
        <c:ser>
          <c:idx val="0"/>
          <c:order val="0"/>
          <c:tx>
            <c:strRef>
              <c:f>'IND15'!$I$2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1B-42F5-8F20-DD7FFF774070}"/>
              </c:ext>
            </c:extLst>
          </c:dPt>
          <c:val>
            <c:numRef>
              <c:f>'IND15'!$I$3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1B-42F5-8F20-DD7FFF77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742196288"/>
        <c:axId val="1742190464"/>
      </c:barChart>
      <c:lineChart>
        <c:grouping val="standard"/>
        <c:varyColors val="0"/>
        <c:ser>
          <c:idx val="1"/>
          <c:order val="1"/>
          <c:tx>
            <c:strRef>
              <c:f>'IND15'!$J$2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0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val>
            <c:numRef>
              <c:f>'IND15'!$J$3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1B-42F5-8F20-DD7FFF77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26496"/>
        <c:axId val="2031319008"/>
      </c:lineChart>
      <c:catAx>
        <c:axId val="203132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1319008"/>
        <c:crosses val="autoZero"/>
        <c:auto val="1"/>
        <c:lblAlgn val="ctr"/>
        <c:lblOffset val="100"/>
        <c:noMultiLvlLbl val="0"/>
      </c:catAx>
      <c:valAx>
        <c:axId val="2031319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26496"/>
        <c:crosses val="autoZero"/>
        <c:crossBetween val="between"/>
      </c:valAx>
      <c:valAx>
        <c:axId val="174219046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742196288"/>
        <c:crosses val="max"/>
        <c:crossBetween val="between"/>
      </c:valAx>
      <c:catAx>
        <c:axId val="174219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4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1213232</xdr:colOff>
      <xdr:row>0</xdr:row>
      <xdr:rowOff>141584</xdr:rowOff>
    </xdr:from>
    <xdr:to>
      <xdr:col>8</xdr:col>
      <xdr:colOff>1239494</xdr:colOff>
      <xdr:row>6</xdr:row>
      <xdr:rowOff>94140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75BDEA3-F857-4B94-869F-57FA1515469E}"/>
            </a:ext>
          </a:extLst>
        </xdr:cNvPr>
        <xdr:cNvGrpSpPr/>
      </xdr:nvGrpSpPr>
      <xdr:grpSpPr>
        <a:xfrm>
          <a:off x="1498982" y="141584"/>
          <a:ext cx="9408387" cy="1095556"/>
          <a:chOff x="192803" y="70945"/>
          <a:chExt cx="7738952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79D50A0-0857-43FF-A1BE-762F4A86A9D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4C5EC118-C8FF-45CD-936B-0975D80BAC91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2D30222-84FC-4DA6-91B8-75D735916189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PD-DOC-011</a:t>
              </a:r>
            </a:p>
          </xdr:txBody>
        </xdr: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AC085DB2-1134-401A-BF4A-E7B97F9C36BE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730E9FDE-BC8D-47C6-80B4-65828C94D498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AB56293E-F745-4D49-A771-A6678762572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50C76343-7C26-4E69-8745-B902A0748FCB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AB072EA-77CF-4A17-BD51-22B9D634E1A4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182D4D48-BA5E-4531-8D98-F0FA96687DFC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CB2D11D-137C-47D0-B0BB-D59AC6DF6B6C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2DF31E5C-AFA9-4D2A-AD6C-0C24BBD2A3D5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74BE6260-4FE1-4A7C-AD63-98EADA2C777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E1F46794-24CB-46B8-A0F1-E04415D17933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C73653E-A3E2-467E-9288-705F3235B856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LISTA DE INDICADORES</a:t>
              </a: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72FD0688-8D80-4B48-BF40-354FC5D3441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</xdr:col>
      <xdr:colOff>889967</xdr:colOff>
      <xdr:row>23</xdr:row>
      <xdr:rowOff>150329</xdr:rowOff>
    </xdr:from>
    <xdr:to>
      <xdr:col>7</xdr:col>
      <xdr:colOff>137116</xdr:colOff>
      <xdr:row>29</xdr:row>
      <xdr:rowOff>35292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AC0F8FB-D538-4ABA-9B21-343E0622332B}"/>
            </a:ext>
          </a:extLst>
        </xdr:cNvPr>
        <xdr:cNvGrpSpPr/>
      </xdr:nvGrpSpPr>
      <xdr:grpSpPr>
        <a:xfrm>
          <a:off x="1175717" y="14247329"/>
          <a:ext cx="8229224" cy="1027963"/>
          <a:chOff x="141514" y="12252347"/>
          <a:chExt cx="7573680" cy="917116"/>
        </a:xfrm>
      </xdr:grpSpPr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2345202D-E505-4822-BF4B-620139B514EB}"/>
              </a:ext>
            </a:extLst>
          </xdr:cNvPr>
          <xdr:cNvGrpSpPr/>
        </xdr:nvGrpSpPr>
        <xdr:grpSpPr>
          <a:xfrm>
            <a:off x="141514" y="12252347"/>
            <a:ext cx="2682240" cy="916646"/>
            <a:chOff x="0" y="5208919"/>
            <a:chExt cx="2736792" cy="927779"/>
          </a:xfrm>
        </xdr:grpSpPr>
        <xdr:grpSp>
          <xdr:nvGrpSpPr>
            <xdr:cNvPr id="50" name="Grupo 49">
              <a:extLst>
                <a:ext uri="{FF2B5EF4-FFF2-40B4-BE49-F238E27FC236}">
                  <a16:creationId xmlns:a16="http://schemas.microsoft.com/office/drawing/2014/main" id="{2D861D88-2EB2-4EB8-AB68-8EE5CC7D198E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52" name="Grupo 51">
                <a:extLst>
                  <a:ext uri="{FF2B5EF4-FFF2-40B4-BE49-F238E27FC236}">
                    <a16:creationId xmlns:a16="http://schemas.microsoft.com/office/drawing/2014/main" id="{F3811D9D-5F24-4989-8F69-F30FA08EBCEB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7AE26DC2-EC68-4486-B768-440B5AF0073A}"/>
                    </a:ext>
                  </a:extLst>
                </xdr:cNvPr>
                <xdr:cNvSpPr txBox="1"/>
              </xdr:nvSpPr>
              <xdr:spPr>
                <a:xfrm>
                  <a:off x="684609" y="5373879"/>
                  <a:ext cx="1582989" cy="32420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FDF4327E-6064-4632-8077-DFB0B09B3BF6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0E537F05-D29E-4092-9DF1-5D904923EF07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03285711-14AA-4CE8-9E43-FEB9F494A5F1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AB273CFA-36F2-4E8D-9203-5CF1BFF64CD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9" name="Conector recto 58">
                  <a:extLst>
                    <a:ext uri="{FF2B5EF4-FFF2-40B4-BE49-F238E27FC236}">
                      <a16:creationId xmlns:a16="http://schemas.microsoft.com/office/drawing/2014/main" id="{9F631D79-8DA6-4877-9F76-2E621191007F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0" name="CuadroTexto 59">
                  <a:extLst>
                    <a:ext uri="{FF2B5EF4-FFF2-40B4-BE49-F238E27FC236}">
                      <a16:creationId xmlns:a16="http://schemas.microsoft.com/office/drawing/2014/main" id="{A65BADE2-9E97-4FD6-A1E3-0EEAC1F57F46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61" name="Conector recto 60">
                  <a:extLst>
                    <a:ext uri="{FF2B5EF4-FFF2-40B4-BE49-F238E27FC236}">
                      <a16:creationId xmlns:a16="http://schemas.microsoft.com/office/drawing/2014/main" id="{2440DB2E-F2EF-4F31-AABF-44B8D758462B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2" name="CuadroTexto 61">
                  <a:extLst>
                    <a:ext uri="{FF2B5EF4-FFF2-40B4-BE49-F238E27FC236}">
                      <a16:creationId xmlns:a16="http://schemas.microsoft.com/office/drawing/2014/main" id="{AA9FBA44-78E7-414A-B5F8-0F4DB3A0773D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519523" cy="20710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3" name="Rectángulo: esquinas redondeadas 62">
                  <a:extLst>
                    <a:ext uri="{FF2B5EF4-FFF2-40B4-BE49-F238E27FC236}">
                      <a16:creationId xmlns:a16="http://schemas.microsoft.com/office/drawing/2014/main" id="{C3122003-34AE-4BEC-9A59-C35E2121DC08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3" name="Conector recto 52">
                <a:extLst>
                  <a:ext uri="{FF2B5EF4-FFF2-40B4-BE49-F238E27FC236}">
                    <a16:creationId xmlns:a16="http://schemas.microsoft.com/office/drawing/2014/main" id="{5921CB60-E26E-40DA-8181-A7536CB42CAF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51" name="Conector recto 50">
              <a:extLst>
                <a:ext uri="{FF2B5EF4-FFF2-40B4-BE49-F238E27FC236}">
                  <a16:creationId xmlns:a16="http://schemas.microsoft.com/office/drawing/2014/main" id="{0916E9DD-19DD-4EEF-B8D8-A2EE7FF3A9EA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609E0F43-65B9-469A-AA68-9A8E6CE70112}"/>
              </a:ext>
            </a:extLst>
          </xdr:cNvPr>
          <xdr:cNvGrpSpPr/>
        </xdr:nvGrpSpPr>
        <xdr:grpSpPr>
          <a:xfrm>
            <a:off x="5299654" y="12254717"/>
            <a:ext cx="2415540" cy="913189"/>
            <a:chOff x="0" y="5208919"/>
            <a:chExt cx="2736792" cy="927779"/>
          </a:xfrm>
        </xdr:grpSpPr>
        <xdr:grpSp>
          <xdr:nvGrpSpPr>
            <xdr:cNvPr id="36" name="Grupo 35">
              <a:extLst>
                <a:ext uri="{FF2B5EF4-FFF2-40B4-BE49-F238E27FC236}">
                  <a16:creationId xmlns:a16="http://schemas.microsoft.com/office/drawing/2014/main" id="{5D3A9803-5958-4A87-9214-4C53F5700F9C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8" name="Grupo 37">
                <a:extLst>
                  <a:ext uri="{FF2B5EF4-FFF2-40B4-BE49-F238E27FC236}">
                    <a16:creationId xmlns:a16="http://schemas.microsoft.com/office/drawing/2014/main" id="{4C70DDDE-2B39-4E3F-AD9D-B5CEACA3ED3C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3610D055-8B1C-4784-AB39-BF559208547A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2CF5C02B-FEE6-4BA5-8B47-53BCCC1CB22F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7BB9E4B5-C66E-40DF-B579-E235C8F4A64C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B8B06549-8884-42A5-A782-0991696B9528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C39D7ED5-1785-4A58-954F-1E23B6EA4D91}"/>
                    </a:ext>
                  </a:extLst>
                </xdr:cNvPr>
                <xdr:cNvSpPr txBox="1"/>
              </xdr:nvSpPr>
              <xdr:spPr>
                <a:xfrm>
                  <a:off x="0" y="5390759"/>
                  <a:ext cx="1060098" cy="25421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5" name="Conector recto 44">
                  <a:extLst>
                    <a:ext uri="{FF2B5EF4-FFF2-40B4-BE49-F238E27FC236}">
                      <a16:creationId xmlns:a16="http://schemas.microsoft.com/office/drawing/2014/main" id="{4C1A69B6-1D9B-45AF-AA1B-C9718FB137C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6" name="CuadroTexto 45">
                  <a:extLst>
                    <a:ext uri="{FF2B5EF4-FFF2-40B4-BE49-F238E27FC236}">
                      <a16:creationId xmlns:a16="http://schemas.microsoft.com/office/drawing/2014/main" id="{7C7EC19A-17E6-42D2-BEFA-F8E502D05A9D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7" name="Conector recto 46">
                  <a:extLst>
                    <a:ext uri="{FF2B5EF4-FFF2-40B4-BE49-F238E27FC236}">
                      <a16:creationId xmlns:a16="http://schemas.microsoft.com/office/drawing/2014/main" id="{5A51FD04-ECDB-474C-B233-4C905CCCAFB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8" name="CuadroTexto 47">
                  <a:extLst>
                    <a:ext uri="{FF2B5EF4-FFF2-40B4-BE49-F238E27FC236}">
                      <a16:creationId xmlns:a16="http://schemas.microsoft.com/office/drawing/2014/main" id="{E4D6D37B-FA1D-44A2-922F-DF9C75E896C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9" name="Rectángulo: esquinas redondeadas 48">
                  <a:extLst>
                    <a:ext uri="{FF2B5EF4-FFF2-40B4-BE49-F238E27FC236}">
                      <a16:creationId xmlns:a16="http://schemas.microsoft.com/office/drawing/2014/main" id="{CC8A3738-0244-41A8-8D03-4F93A267E39A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9" name="Conector recto 38">
                <a:extLst>
                  <a:ext uri="{FF2B5EF4-FFF2-40B4-BE49-F238E27FC236}">
                    <a16:creationId xmlns:a16="http://schemas.microsoft.com/office/drawing/2014/main" id="{8EC13C4E-70B9-42F4-AC01-7E3C4DF04C18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7" name="Conector recto 36">
              <a:extLst>
                <a:ext uri="{FF2B5EF4-FFF2-40B4-BE49-F238E27FC236}">
                  <a16:creationId xmlns:a16="http://schemas.microsoft.com/office/drawing/2014/main" id="{8C5EDDDE-4657-4D3E-852E-73E9E94C2BA9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92465FDE-5495-42AB-A665-38A7C1755C4A}"/>
              </a:ext>
            </a:extLst>
          </xdr:cNvPr>
          <xdr:cNvGrpSpPr/>
        </xdr:nvGrpSpPr>
        <xdr:grpSpPr>
          <a:xfrm>
            <a:off x="2775153" y="12252817"/>
            <a:ext cx="2570943" cy="916646"/>
            <a:chOff x="0" y="5208919"/>
            <a:chExt cx="2736792" cy="927779"/>
          </a:xfrm>
        </xdr:grpSpPr>
        <xdr:grpSp>
          <xdr:nvGrpSpPr>
            <xdr:cNvPr id="22" name="Grupo 21">
              <a:extLst>
                <a:ext uri="{FF2B5EF4-FFF2-40B4-BE49-F238E27FC236}">
                  <a16:creationId xmlns:a16="http://schemas.microsoft.com/office/drawing/2014/main" id="{BEA2CE7E-5DB6-4471-8536-E40BE5B85642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4" name="Grupo 23">
                <a:extLst>
                  <a:ext uri="{FF2B5EF4-FFF2-40B4-BE49-F238E27FC236}">
                    <a16:creationId xmlns:a16="http://schemas.microsoft.com/office/drawing/2014/main" id="{6DF9ABBA-D959-4C1F-9FE4-AB1EA996B354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319B266B-1CF7-4456-A48B-8718137701BE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27" name="CuadroTexto 26">
                  <a:extLst>
                    <a:ext uri="{FF2B5EF4-FFF2-40B4-BE49-F238E27FC236}">
                      <a16:creationId xmlns:a16="http://schemas.microsoft.com/office/drawing/2014/main" id="{3765AC3B-AA21-411B-B020-B9BCF3FDA47D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03132238-049A-4EB4-B7FA-763C1CB635AA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9" name="CuadroTexto 28">
                  <a:extLst>
                    <a:ext uri="{FF2B5EF4-FFF2-40B4-BE49-F238E27FC236}">
                      <a16:creationId xmlns:a16="http://schemas.microsoft.com/office/drawing/2014/main" id="{15CA6F50-F207-4BC9-9B75-D4821A593EE7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0" name="CuadroTexto 29">
                  <a:extLst>
                    <a:ext uri="{FF2B5EF4-FFF2-40B4-BE49-F238E27FC236}">
                      <a16:creationId xmlns:a16="http://schemas.microsoft.com/office/drawing/2014/main" id="{36C2475C-246B-4C3B-9A41-AA4F71F8C4C3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31" name="Conector recto 30">
                  <a:extLst>
                    <a:ext uri="{FF2B5EF4-FFF2-40B4-BE49-F238E27FC236}">
                      <a16:creationId xmlns:a16="http://schemas.microsoft.com/office/drawing/2014/main" id="{1989220D-1CA1-496C-AE20-0507D6AA153C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2" name="CuadroTexto 31">
                  <a:extLst>
                    <a:ext uri="{FF2B5EF4-FFF2-40B4-BE49-F238E27FC236}">
                      <a16:creationId xmlns:a16="http://schemas.microsoft.com/office/drawing/2014/main" id="{7921D32A-9E43-4348-96F4-C8ECA4D9A359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33" name="Conector recto 32">
                  <a:extLst>
                    <a:ext uri="{FF2B5EF4-FFF2-40B4-BE49-F238E27FC236}">
                      <a16:creationId xmlns:a16="http://schemas.microsoft.com/office/drawing/2014/main" id="{A837A177-214C-4902-9939-BBD53EC810D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4" name="CuadroTexto 33">
                  <a:extLst>
                    <a:ext uri="{FF2B5EF4-FFF2-40B4-BE49-F238E27FC236}">
                      <a16:creationId xmlns:a16="http://schemas.microsoft.com/office/drawing/2014/main" id="{440274BB-C62D-4C68-9C31-55F57DDEFD13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35" name="Rectángulo: esquinas redondeadas 34">
                  <a:extLst>
                    <a:ext uri="{FF2B5EF4-FFF2-40B4-BE49-F238E27FC236}">
                      <a16:creationId xmlns:a16="http://schemas.microsoft.com/office/drawing/2014/main" id="{BF47C89F-C3C8-4DBB-80C8-464BC62469FE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25" name="Conector recto 24">
                <a:extLst>
                  <a:ext uri="{FF2B5EF4-FFF2-40B4-BE49-F238E27FC236}">
                    <a16:creationId xmlns:a16="http://schemas.microsoft.com/office/drawing/2014/main" id="{A6CD85D8-0A1F-4920-A7F2-962CA5BFE019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3" name="Conector recto 22">
              <a:extLst>
                <a:ext uri="{FF2B5EF4-FFF2-40B4-BE49-F238E27FC236}">
                  <a16:creationId xmlns:a16="http://schemas.microsoft.com/office/drawing/2014/main" id="{929989E0-4FF1-481D-B74E-29C5EB05800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6</xdr:col>
      <xdr:colOff>13970</xdr:colOff>
      <xdr:row>26</xdr:row>
      <xdr:rowOff>49529</xdr:rowOff>
    </xdr:from>
    <xdr:to>
      <xdr:col>6</xdr:col>
      <xdr:colOff>1133475</xdr:colOff>
      <xdr:row>29</xdr:row>
      <xdr:rowOff>66674</xdr:rowOff>
    </xdr:to>
    <xdr:pic>
      <xdr:nvPicPr>
        <xdr:cNvPr id="64" name="Imagen 63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05" t="2409" r="59416" b="88461"/>
        <a:stretch/>
      </xdr:blipFill>
      <xdr:spPr bwMode="auto">
        <a:xfrm>
          <a:off x="7510145" y="14718029"/>
          <a:ext cx="1119505" cy="5886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796290</xdr:colOff>
      <xdr:row>26</xdr:row>
      <xdr:rowOff>24129</xdr:rowOff>
    </xdr:from>
    <xdr:to>
      <xdr:col>5</xdr:col>
      <xdr:colOff>151593</xdr:colOff>
      <xdr:row>29</xdr:row>
      <xdr:rowOff>41274</xdr:rowOff>
    </xdr:to>
    <xdr:pic>
      <xdr:nvPicPr>
        <xdr:cNvPr id="65" name="Imagen 64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38" t="2173" r="59420" b="88697"/>
        <a:stretch/>
      </xdr:blipFill>
      <xdr:spPr bwMode="auto">
        <a:xfrm>
          <a:off x="4749165" y="14692629"/>
          <a:ext cx="1126953" cy="5886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466724</xdr:colOff>
      <xdr:row>25</xdr:row>
      <xdr:rowOff>152400</xdr:rowOff>
    </xdr:from>
    <xdr:to>
      <xdr:col>3</xdr:col>
      <xdr:colOff>778974</xdr:colOff>
      <xdr:row>29</xdr:row>
      <xdr:rowOff>62253</xdr:rowOff>
    </xdr:to>
    <xdr:pic>
      <xdr:nvPicPr>
        <xdr:cNvPr id="66" name="Imagen 65"/>
        <xdr:cNvPicPr/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24" t="3587" r="8843" b="80113"/>
        <a:stretch/>
      </xdr:blipFill>
      <xdr:spPr bwMode="auto">
        <a:xfrm>
          <a:off x="2009774" y="14630400"/>
          <a:ext cx="950425" cy="67185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6AEC11F9-E832-42B8-B408-93804D5BE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1FFBC403-472E-4D9B-B029-8ED0B9DDA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67CB66-9724-4D61-857A-5A3349B76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833D2E16-1963-4550-8189-656FFB859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A70794F2-906A-45ED-8DB4-594E0E411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CCE6CB-8C5C-49FD-8D5F-31C7B0952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D3EFAAE0-3052-45F4-91C7-6DD85FF60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507DA86D-CA6A-44A6-9850-B47BD2A9A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E25116-2E6B-4F64-9F35-AC31398E2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A1A15E7B-26B7-44C3-BD01-8E27EC882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E87FB769-B799-44A0-B4B3-1A8CBD06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FC708E-627C-4420-873E-C7DB9CCA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6E62C193-59EE-4546-9C10-AF1FD6256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EFDBBFB3-E227-401D-8A1A-DB83073B3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3DA4C8-AE34-4967-B837-5895500C0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14995E65-BAC4-4ED1-B8D2-D58875EF6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7E3BA566-119C-4476-888E-C4101AE4E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F0918F-A85C-4C4A-B1E9-21EA86A6D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C29344B5-8D99-4D4F-B7A3-3488A99DD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1340E5B5-84D2-4127-9BF7-65D0C2568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16F98F-B116-4CF6-B6DA-2942774CB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76FA60BD-8B68-4B86-9457-68B070CDA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71688B92-01B4-4667-8B65-C49EC9F97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C80A70-DC9F-4FC8-93FF-5D65D2F36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B9FABC5D-5A40-4B57-B30E-56206AA5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5195B408-AE49-452E-B05A-53CEFF7F0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7F8EB0-71CE-435C-9172-B37121FDD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747C38CF-9E0B-45B4-8D8E-B69EEE162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8A87F3C5-30FF-4A2B-BD9F-427B0DEEA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4511C1-D041-47E4-806A-67970EFEE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F70F79B5-FCB4-43F2-8078-AE49BCFFB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40A94BE9-C95B-4CD2-A686-CF78B7EFE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B13099-7B64-4FFC-B7F9-AD1D80023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2421AD44-8196-4824-ADC4-15F491F3F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D1DF1D5E-6B14-4DFC-8120-D11A3C44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4536A8-0F59-4F78-AB0A-AF4BE9313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372F1205-85D1-43E9-9174-25D7D99BB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E2C716DE-9E29-41A7-AA93-6FF06A184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0360A4-8BA8-4B3F-B830-ECCEF5EE8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EE1A8832-9F46-47CC-B17A-0A739B517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B4E0AB5A-21F8-44B9-97A6-C40BDD235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70DD89-A3FA-44ED-913B-A3FAA7C37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280147</xdr:colOff>
      <xdr:row>8</xdr:row>
      <xdr:rowOff>123264</xdr:rowOff>
    </xdr:from>
    <xdr:to>
      <xdr:col>8</xdr:col>
      <xdr:colOff>201706</xdr:colOff>
      <xdr:row>28</xdr:row>
      <xdr:rowOff>100852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690B73B5-021F-4F8A-A84A-8F5427350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179294</xdr:colOff>
      <xdr:row>8</xdr:row>
      <xdr:rowOff>145676</xdr:rowOff>
    </xdr:from>
    <xdr:to>
      <xdr:col>14</xdr:col>
      <xdr:colOff>-1</xdr:colOff>
      <xdr:row>28</xdr:row>
      <xdr:rowOff>78441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EC206BF7-39DA-43A7-B92E-1FA25F3B6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246530</xdr:colOff>
      <xdr:row>8</xdr:row>
      <xdr:rowOff>123264</xdr:rowOff>
    </xdr:from>
    <xdr:to>
      <xdr:col>2</xdr:col>
      <xdr:colOff>67235</xdr:colOff>
      <xdr:row>25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4A64CB-B2AB-49FD-A522-45F65670E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coay\Downloads\Tablero%20de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RO DE CONTROL"/>
      <sheetName val="RESUMEN"/>
      <sheetName val="IND1"/>
      <sheetName val="IND 2"/>
      <sheetName val="MESES"/>
      <sheetName val="IND 3"/>
      <sheetName val="IND 4"/>
      <sheetName val="IND 5 "/>
      <sheetName val="IND 6"/>
      <sheetName val="IND 7"/>
      <sheetName val="IND 8"/>
      <sheetName val="IND 9"/>
      <sheetName val="IND 10"/>
      <sheetName val="IND 11"/>
    </sheetNames>
    <sheetDataSet>
      <sheetData sheetId="0">
        <row r="10">
          <cell r="N10" t="str">
            <v>Incrementar la Satisfacción de los clientes</v>
          </cell>
        </row>
      </sheetData>
      <sheetData sheetId="1" refreshError="1"/>
      <sheetData sheetId="2">
        <row r="5">
          <cell r="C5" t="str">
            <v>Enero</v>
          </cell>
        </row>
      </sheetData>
      <sheetData sheetId="3" refreshError="1"/>
      <sheetData sheetId="4">
        <row r="2">
          <cell r="A2" t="str">
            <v>ENERO</v>
          </cell>
        </row>
        <row r="3">
          <cell r="A3" t="str">
            <v>FEBRERO</v>
          </cell>
        </row>
        <row r="4">
          <cell r="A4" t="str">
            <v>MARZO</v>
          </cell>
        </row>
        <row r="5">
          <cell r="A5" t="str">
            <v>ABRIL</v>
          </cell>
        </row>
        <row r="6">
          <cell r="A6" t="str">
            <v>MAYO</v>
          </cell>
        </row>
        <row r="7">
          <cell r="A7" t="str">
            <v>JUNIO</v>
          </cell>
        </row>
        <row r="8">
          <cell r="A8" t="str">
            <v>JULIO</v>
          </cell>
        </row>
        <row r="9">
          <cell r="A9" t="str">
            <v>AGOSTO</v>
          </cell>
        </row>
        <row r="10">
          <cell r="A10" t="str">
            <v>SEPTIEMBRE</v>
          </cell>
        </row>
        <row r="11">
          <cell r="A11" t="str">
            <v>OCTUBRE</v>
          </cell>
        </row>
        <row r="12">
          <cell r="A12" t="str">
            <v>NOVIEMBRE</v>
          </cell>
        </row>
        <row r="13">
          <cell r="A13" t="str">
            <v>DICIEMBRE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21" zoomScaleNormal="100" workbookViewId="0">
      <selection activeCell="F31" sqref="F31"/>
    </sheetView>
  </sheetViews>
  <sheetFormatPr baseColWidth="10" defaultRowHeight="15" x14ac:dyDescent="0.25"/>
  <cols>
    <col min="1" max="1" width="4.28515625" bestFit="1" customWidth="1"/>
    <col min="2" max="2" width="18.85546875" bestFit="1" customWidth="1"/>
    <col min="3" max="3" width="9.5703125" style="43" customWidth="1"/>
    <col min="4" max="7" width="26.5703125" customWidth="1"/>
    <col min="8" max="8" width="6" bestFit="1" customWidth="1"/>
    <col min="9" max="9" width="19.42578125" style="43" bestFit="1" customWidth="1"/>
    <col min="10" max="10" width="26.5703125" customWidth="1"/>
  </cols>
  <sheetData>
    <row r="1" spans="1:10" x14ac:dyDescent="0.25">
      <c r="A1" s="44"/>
      <c r="B1" s="44"/>
      <c r="C1" s="45"/>
      <c r="D1" s="44"/>
      <c r="E1" s="44"/>
      <c r="F1" s="44"/>
      <c r="G1" s="44"/>
      <c r="H1" s="44"/>
      <c r="I1" s="45"/>
      <c r="J1" s="44"/>
    </row>
    <row r="2" spans="1:10" x14ac:dyDescent="0.25">
      <c r="A2" s="44"/>
      <c r="B2" s="44"/>
      <c r="C2" s="45"/>
      <c r="D2" s="44"/>
      <c r="E2" s="44"/>
      <c r="F2" s="44"/>
      <c r="G2" s="44"/>
      <c r="H2" s="44"/>
      <c r="I2" s="45"/>
      <c r="J2" s="44"/>
    </row>
    <row r="3" spans="1:10" x14ac:dyDescent="0.25">
      <c r="A3" s="44"/>
      <c r="B3" s="44"/>
      <c r="C3" s="45"/>
      <c r="D3" s="44"/>
      <c r="E3" s="44"/>
      <c r="F3" s="44"/>
      <c r="G3" s="44"/>
      <c r="H3" s="44"/>
      <c r="I3" s="45"/>
      <c r="J3" s="44"/>
    </row>
    <row r="4" spans="1:10" x14ac:dyDescent="0.25">
      <c r="A4" s="44"/>
      <c r="B4" s="44"/>
      <c r="C4" s="45"/>
      <c r="D4" s="44"/>
      <c r="E4" s="44"/>
      <c r="F4" s="44"/>
      <c r="G4" s="44"/>
      <c r="H4" s="44"/>
      <c r="I4" s="45"/>
      <c r="J4" s="44"/>
    </row>
    <row r="5" spans="1:10" x14ac:dyDescent="0.25">
      <c r="A5" s="44"/>
      <c r="B5" s="44"/>
      <c r="C5" s="45"/>
      <c r="D5" s="44"/>
      <c r="E5" s="44"/>
      <c r="F5" s="44"/>
      <c r="G5" s="44"/>
      <c r="H5" s="44"/>
      <c r="I5" s="45"/>
      <c r="J5" s="44"/>
    </row>
    <row r="6" spans="1:10" x14ac:dyDescent="0.25">
      <c r="A6" s="44"/>
      <c r="B6" s="44"/>
      <c r="C6" s="45"/>
      <c r="D6" s="44"/>
      <c r="E6" s="44"/>
      <c r="F6" s="44"/>
      <c r="G6" s="44"/>
      <c r="H6" s="44"/>
      <c r="I6" s="45"/>
      <c r="J6" s="44"/>
    </row>
    <row r="7" spans="1:10" x14ac:dyDescent="0.25">
      <c r="A7" s="44"/>
      <c r="B7" s="44"/>
      <c r="C7" s="45"/>
      <c r="D7" s="44"/>
      <c r="E7" s="44"/>
      <c r="F7" s="44"/>
      <c r="G7" s="44"/>
      <c r="H7" s="44"/>
      <c r="I7" s="45"/>
      <c r="J7" s="44"/>
    </row>
    <row r="8" spans="1:10" ht="45" x14ac:dyDescent="0.25">
      <c r="A8" s="46" t="s">
        <v>25</v>
      </c>
      <c r="B8" s="46" t="s">
        <v>72</v>
      </c>
      <c r="C8" s="46" t="s">
        <v>108</v>
      </c>
      <c r="D8" s="46" t="s">
        <v>26</v>
      </c>
      <c r="E8" s="46" t="s">
        <v>5</v>
      </c>
      <c r="F8" s="46" t="s">
        <v>50</v>
      </c>
      <c r="G8" s="46" t="s">
        <v>51</v>
      </c>
      <c r="H8" s="46" t="s">
        <v>24</v>
      </c>
      <c r="I8" s="52" t="s">
        <v>71</v>
      </c>
      <c r="J8" s="46" t="s">
        <v>35</v>
      </c>
    </row>
    <row r="9" spans="1:10" ht="45" x14ac:dyDescent="0.25">
      <c r="A9" s="47">
        <v>1</v>
      </c>
      <c r="B9" s="47" t="s">
        <v>73</v>
      </c>
      <c r="C9" s="33" t="s">
        <v>109</v>
      </c>
      <c r="D9" s="34" t="s">
        <v>27</v>
      </c>
      <c r="E9" s="47" t="s">
        <v>33</v>
      </c>
      <c r="F9" s="47" t="s">
        <v>52</v>
      </c>
      <c r="G9" s="47" t="s">
        <v>59</v>
      </c>
      <c r="H9" s="48">
        <v>0.7</v>
      </c>
      <c r="I9" s="49" t="str">
        <f>'IND1'!I3</f>
        <v>-</v>
      </c>
      <c r="J9" s="47" t="s">
        <v>18</v>
      </c>
    </row>
    <row r="10" spans="1:10" ht="75" x14ac:dyDescent="0.25">
      <c r="A10" s="47">
        <v>2</v>
      </c>
      <c r="B10" s="47" t="s">
        <v>80</v>
      </c>
      <c r="C10" s="33" t="s">
        <v>109</v>
      </c>
      <c r="D10" s="34" t="s">
        <v>28</v>
      </c>
      <c r="E10" s="47" t="s">
        <v>106</v>
      </c>
      <c r="F10" s="47" t="s">
        <v>53</v>
      </c>
      <c r="G10" s="47" t="s">
        <v>107</v>
      </c>
      <c r="H10" s="48">
        <v>1</v>
      </c>
      <c r="I10" s="49" t="str">
        <f>'IND2'!I3</f>
        <v>-</v>
      </c>
      <c r="J10" s="47" t="s">
        <v>18</v>
      </c>
    </row>
    <row r="11" spans="1:10" ht="60" x14ac:dyDescent="0.25">
      <c r="A11" s="47">
        <v>3</v>
      </c>
      <c r="B11" s="47" t="s">
        <v>74</v>
      </c>
      <c r="C11" s="33" t="s">
        <v>109</v>
      </c>
      <c r="D11" s="34" t="s">
        <v>29</v>
      </c>
      <c r="E11" s="47" t="s">
        <v>34</v>
      </c>
      <c r="F11" s="47" t="s">
        <v>54</v>
      </c>
      <c r="G11" s="47" t="s">
        <v>60</v>
      </c>
      <c r="H11" s="48">
        <v>1</v>
      </c>
      <c r="I11" s="49" t="str">
        <f>'IND3'!I3</f>
        <v>-</v>
      </c>
      <c r="J11" s="47" t="s">
        <v>18</v>
      </c>
    </row>
    <row r="12" spans="1:10" ht="75" x14ac:dyDescent="0.25">
      <c r="A12" s="47">
        <v>4</v>
      </c>
      <c r="B12" s="47" t="s">
        <v>81</v>
      </c>
      <c r="C12" s="33" t="s">
        <v>109</v>
      </c>
      <c r="D12" s="34" t="s">
        <v>85</v>
      </c>
      <c r="E12" s="47" t="s">
        <v>37</v>
      </c>
      <c r="F12" s="47" t="s">
        <v>55</v>
      </c>
      <c r="G12" s="47" t="s">
        <v>61</v>
      </c>
      <c r="H12" s="48">
        <v>1</v>
      </c>
      <c r="I12" s="49" t="str">
        <f>'IND4'!I3</f>
        <v>-</v>
      </c>
      <c r="J12" s="47" t="s">
        <v>18</v>
      </c>
    </row>
    <row r="13" spans="1:10" ht="75" x14ac:dyDescent="0.25">
      <c r="A13" s="47">
        <v>5</v>
      </c>
      <c r="B13" s="47" t="s">
        <v>75</v>
      </c>
      <c r="C13" s="33" t="s">
        <v>110</v>
      </c>
      <c r="D13" s="34" t="s">
        <v>86</v>
      </c>
      <c r="E13" s="47" t="s">
        <v>36</v>
      </c>
      <c r="F13" s="47" t="s">
        <v>56</v>
      </c>
      <c r="G13" s="47" t="s">
        <v>62</v>
      </c>
      <c r="H13" s="48">
        <v>1</v>
      </c>
      <c r="I13" s="49" t="str">
        <f>'IND5'!I3</f>
        <v>-</v>
      </c>
      <c r="J13" s="47" t="s">
        <v>18</v>
      </c>
    </row>
    <row r="14" spans="1:10" ht="60" x14ac:dyDescent="0.25">
      <c r="A14" s="47">
        <v>6</v>
      </c>
      <c r="B14" s="47" t="s">
        <v>76</v>
      </c>
      <c r="C14" s="33" t="s">
        <v>110</v>
      </c>
      <c r="D14" s="34" t="s">
        <v>30</v>
      </c>
      <c r="E14" s="47" t="s">
        <v>38</v>
      </c>
      <c r="F14" s="47" t="s">
        <v>57</v>
      </c>
      <c r="G14" s="47" t="s">
        <v>63</v>
      </c>
      <c r="H14" s="48">
        <v>1</v>
      </c>
      <c r="I14" s="49" t="str">
        <f>'IND6'!I3</f>
        <v>-</v>
      </c>
      <c r="J14" s="47" t="s">
        <v>18</v>
      </c>
    </row>
    <row r="15" spans="1:10" ht="60" x14ac:dyDescent="0.25">
      <c r="A15" s="47">
        <v>7</v>
      </c>
      <c r="B15" s="47" t="s">
        <v>76</v>
      </c>
      <c r="C15" s="33" t="s">
        <v>111</v>
      </c>
      <c r="D15" s="34" t="s">
        <v>40</v>
      </c>
      <c r="E15" s="47" t="s">
        <v>41</v>
      </c>
      <c r="F15" s="47" t="s">
        <v>58</v>
      </c>
      <c r="G15" s="47" t="s">
        <v>64</v>
      </c>
      <c r="H15" s="48">
        <v>1</v>
      </c>
      <c r="I15" s="49" t="str">
        <f>'IND7'!I3</f>
        <v>-</v>
      </c>
      <c r="J15" s="47" t="s">
        <v>18</v>
      </c>
    </row>
    <row r="16" spans="1:10" ht="45" x14ac:dyDescent="0.25">
      <c r="A16" s="47">
        <v>8</v>
      </c>
      <c r="B16" s="47" t="s">
        <v>76</v>
      </c>
      <c r="C16" s="33" t="s">
        <v>111</v>
      </c>
      <c r="D16" s="34" t="s">
        <v>39</v>
      </c>
      <c r="E16" s="47" t="s">
        <v>42</v>
      </c>
      <c r="F16" s="47" t="s">
        <v>67</v>
      </c>
      <c r="G16" s="47" t="s">
        <v>65</v>
      </c>
      <c r="H16" s="48">
        <v>1</v>
      </c>
      <c r="I16" s="49" t="str">
        <f>'IND8'!I3</f>
        <v>-</v>
      </c>
      <c r="J16" s="47" t="s">
        <v>18</v>
      </c>
    </row>
    <row r="17" spans="1:10" ht="60" x14ac:dyDescent="0.25">
      <c r="A17" s="47">
        <v>9</v>
      </c>
      <c r="B17" s="47" t="s">
        <v>76</v>
      </c>
      <c r="C17" s="33" t="s">
        <v>111</v>
      </c>
      <c r="D17" s="34" t="s">
        <v>31</v>
      </c>
      <c r="E17" s="47" t="s">
        <v>43</v>
      </c>
      <c r="F17" s="47" t="s">
        <v>68</v>
      </c>
      <c r="G17" s="47" t="s">
        <v>66</v>
      </c>
      <c r="H17" s="48">
        <v>1</v>
      </c>
      <c r="I17" s="49" t="str">
        <f>'IND9'!I3</f>
        <v>-</v>
      </c>
      <c r="J17" s="47" t="s">
        <v>18</v>
      </c>
    </row>
    <row r="18" spans="1:10" ht="60" x14ac:dyDescent="0.25">
      <c r="A18" s="47">
        <v>10</v>
      </c>
      <c r="B18" s="47" t="s">
        <v>76</v>
      </c>
      <c r="C18" s="33" t="s">
        <v>110</v>
      </c>
      <c r="D18" s="34" t="s">
        <v>32</v>
      </c>
      <c r="E18" s="47" t="s">
        <v>44</v>
      </c>
      <c r="F18" s="47" t="s">
        <v>69</v>
      </c>
      <c r="G18" s="47" t="s">
        <v>70</v>
      </c>
      <c r="H18" s="48">
        <v>1</v>
      </c>
      <c r="I18" s="49" t="str">
        <f>'IND10'!I3</f>
        <v>-</v>
      </c>
      <c r="J18" s="47" t="s">
        <v>45</v>
      </c>
    </row>
    <row r="19" spans="1:10" ht="90" x14ac:dyDescent="0.25">
      <c r="A19" s="47">
        <v>11</v>
      </c>
      <c r="B19" s="47" t="s">
        <v>77</v>
      </c>
      <c r="C19" s="33" t="s">
        <v>110</v>
      </c>
      <c r="D19" s="34" t="s">
        <v>84</v>
      </c>
      <c r="E19" s="47" t="s">
        <v>87</v>
      </c>
      <c r="F19" s="47" t="s">
        <v>88</v>
      </c>
      <c r="G19" s="47" t="s">
        <v>89</v>
      </c>
      <c r="H19" s="48">
        <v>1</v>
      </c>
      <c r="I19" s="49">
        <f>'IND10'!I4</f>
        <v>0</v>
      </c>
      <c r="J19" s="47" t="s">
        <v>90</v>
      </c>
    </row>
    <row r="20" spans="1:10" ht="60" x14ac:dyDescent="0.25">
      <c r="A20" s="47">
        <v>12</v>
      </c>
      <c r="B20" s="47" t="s">
        <v>78</v>
      </c>
      <c r="C20" s="33" t="s">
        <v>109</v>
      </c>
      <c r="D20" s="34" t="s">
        <v>91</v>
      </c>
      <c r="E20" s="47" t="s">
        <v>92</v>
      </c>
      <c r="F20" s="47" t="s">
        <v>93</v>
      </c>
      <c r="G20" s="47" t="s">
        <v>94</v>
      </c>
      <c r="H20" s="48">
        <v>1</v>
      </c>
      <c r="I20" s="49" t="str">
        <f>'IND10'!I5</f>
        <v>Julio</v>
      </c>
      <c r="J20" s="47" t="s">
        <v>18</v>
      </c>
    </row>
    <row r="21" spans="1:10" ht="75" x14ac:dyDescent="0.25">
      <c r="A21" s="47">
        <v>13</v>
      </c>
      <c r="B21" s="47" t="s">
        <v>79</v>
      </c>
      <c r="C21" s="33" t="s">
        <v>109</v>
      </c>
      <c r="D21" s="34" t="s">
        <v>95</v>
      </c>
      <c r="E21" s="47" t="s">
        <v>96</v>
      </c>
      <c r="F21" s="47" t="s">
        <v>97</v>
      </c>
      <c r="G21" s="47" t="s">
        <v>98</v>
      </c>
      <c r="H21" s="48">
        <v>1</v>
      </c>
      <c r="I21" s="49">
        <f>'IND10'!I6</f>
        <v>0</v>
      </c>
      <c r="J21" s="47" t="s">
        <v>18</v>
      </c>
    </row>
    <row r="22" spans="1:10" ht="60" x14ac:dyDescent="0.25">
      <c r="A22" s="47">
        <v>14</v>
      </c>
      <c r="B22" s="47" t="s">
        <v>82</v>
      </c>
      <c r="C22" s="33" t="s">
        <v>109</v>
      </c>
      <c r="D22" s="34" t="s">
        <v>102</v>
      </c>
      <c r="E22" s="47" t="s">
        <v>103</v>
      </c>
      <c r="F22" s="47" t="s">
        <v>104</v>
      </c>
      <c r="G22" s="47" t="s">
        <v>105</v>
      </c>
      <c r="H22" s="48">
        <v>1</v>
      </c>
      <c r="I22" s="49">
        <f>'IND10'!I7</f>
        <v>0</v>
      </c>
      <c r="J22" s="47" t="s">
        <v>18</v>
      </c>
    </row>
    <row r="23" spans="1:10" ht="60" x14ac:dyDescent="0.25">
      <c r="A23" s="47">
        <v>15</v>
      </c>
      <c r="B23" s="47" t="s">
        <v>76</v>
      </c>
      <c r="C23" s="33" t="s">
        <v>110</v>
      </c>
      <c r="D23" s="34" t="s">
        <v>83</v>
      </c>
      <c r="E23" s="47" t="s">
        <v>99</v>
      </c>
      <c r="F23" s="47" t="s">
        <v>100</v>
      </c>
      <c r="G23" s="47" t="s">
        <v>101</v>
      </c>
      <c r="H23" s="48">
        <v>1</v>
      </c>
      <c r="I23" s="49" t="str">
        <f>'IND10'!I8</f>
        <v/>
      </c>
      <c r="J23" s="47" t="s">
        <v>45</v>
      </c>
    </row>
    <row r="24" spans="1:10" x14ac:dyDescent="0.25">
      <c r="A24" s="44"/>
      <c r="B24" s="44"/>
      <c r="C24" s="45"/>
      <c r="D24" s="44"/>
      <c r="E24" s="44"/>
      <c r="F24" s="44"/>
      <c r="G24" s="44"/>
      <c r="H24" s="44"/>
      <c r="I24" s="45"/>
      <c r="J24" s="44"/>
    </row>
    <row r="25" spans="1:10" x14ac:dyDescent="0.25">
      <c r="A25" s="44"/>
      <c r="B25" s="44"/>
      <c r="C25" s="45"/>
      <c r="D25" s="44"/>
      <c r="E25" s="44"/>
      <c r="F25" s="44"/>
      <c r="G25" s="44"/>
      <c r="H25" s="44"/>
      <c r="I25" s="45"/>
      <c r="J25" s="44"/>
    </row>
    <row r="26" spans="1:10" x14ac:dyDescent="0.25">
      <c r="A26" s="44"/>
      <c r="B26" s="44"/>
      <c r="C26" s="45"/>
      <c r="D26" s="44"/>
      <c r="E26" s="44"/>
      <c r="F26" s="44"/>
      <c r="G26" s="44"/>
      <c r="H26" s="44"/>
      <c r="I26" s="45"/>
      <c r="J26" s="44"/>
    </row>
    <row r="27" spans="1:10" x14ac:dyDescent="0.25">
      <c r="A27" s="44"/>
      <c r="B27" s="44"/>
      <c r="C27" s="45"/>
      <c r="D27" s="44"/>
      <c r="E27" s="44"/>
      <c r="F27" s="44"/>
      <c r="G27" s="44"/>
      <c r="H27" s="44"/>
      <c r="I27" s="45"/>
      <c r="J27" s="44"/>
    </row>
    <row r="28" spans="1:10" x14ac:dyDescent="0.25">
      <c r="A28" s="44"/>
      <c r="B28" s="44"/>
      <c r="C28" s="45"/>
      <c r="D28" s="44"/>
      <c r="E28" s="44"/>
      <c r="F28" s="44"/>
      <c r="G28" s="44"/>
      <c r="H28" s="44"/>
      <c r="I28" s="45"/>
      <c r="J28" s="44"/>
    </row>
    <row r="29" spans="1:10" x14ac:dyDescent="0.25">
      <c r="A29" s="44"/>
      <c r="B29" s="44"/>
      <c r="C29" s="45"/>
      <c r="D29" s="44"/>
      <c r="E29" s="44"/>
      <c r="F29" s="44"/>
      <c r="G29" s="44"/>
      <c r="H29" s="44"/>
      <c r="I29" s="45"/>
      <c r="J29" s="44"/>
    </row>
    <row r="30" spans="1:10" x14ac:dyDescent="0.25">
      <c r="A30" s="44"/>
      <c r="B30" s="44"/>
      <c r="C30" s="45"/>
      <c r="D30" s="44"/>
      <c r="E30" s="44"/>
      <c r="F30" s="44"/>
      <c r="G30" s="44"/>
      <c r="H30" s="44"/>
      <c r="I30" s="45"/>
      <c r="J30" s="44"/>
    </row>
    <row r="31" spans="1:10" x14ac:dyDescent="0.25">
      <c r="A31" s="44"/>
      <c r="B31" s="44"/>
      <c r="C31" s="45"/>
      <c r="D31" s="44"/>
      <c r="E31" s="44"/>
      <c r="F31" s="44"/>
      <c r="G31" s="44"/>
      <c r="H31" s="44"/>
      <c r="I31" s="45"/>
      <c r="J31" s="44"/>
    </row>
    <row r="32" spans="1:10" x14ac:dyDescent="0.25">
      <c r="A32" s="44"/>
      <c r="B32" s="44"/>
      <c r="C32" s="45"/>
      <c r="D32" s="44"/>
      <c r="E32" s="44"/>
      <c r="F32" s="44"/>
      <c r="G32" s="44"/>
      <c r="H32" s="44"/>
      <c r="I32" s="45"/>
      <c r="J32" s="44"/>
    </row>
    <row r="33" spans="1:10" x14ac:dyDescent="0.25">
      <c r="A33" s="44"/>
      <c r="B33" s="44"/>
      <c r="C33" s="45"/>
      <c r="D33" s="44"/>
      <c r="E33" s="44"/>
      <c r="F33" s="44"/>
      <c r="G33" s="44"/>
      <c r="H33" s="44"/>
      <c r="I33" s="45"/>
      <c r="J33" s="44"/>
    </row>
    <row r="34" spans="1:10" x14ac:dyDescent="0.25">
      <c r="A34" s="44"/>
      <c r="B34" s="44"/>
      <c r="C34" s="45"/>
      <c r="D34" s="44"/>
      <c r="E34" s="44"/>
      <c r="F34" s="44"/>
      <c r="G34" s="44"/>
      <c r="H34" s="44"/>
      <c r="I34" s="45"/>
      <c r="J34" s="44"/>
    </row>
    <row r="35" spans="1:10" x14ac:dyDescent="0.25">
      <c r="A35" s="44"/>
      <c r="B35" s="44"/>
      <c r="C35" s="45"/>
      <c r="D35" s="44"/>
      <c r="E35" s="44"/>
      <c r="F35" s="44"/>
      <c r="G35" s="44"/>
      <c r="H35" s="44"/>
      <c r="I35" s="45"/>
      <c r="J35" s="44"/>
    </row>
    <row r="36" spans="1:10" x14ac:dyDescent="0.25">
      <c r="A36" s="44"/>
      <c r="B36" s="44"/>
      <c r="C36" s="45"/>
      <c r="D36" s="44"/>
      <c r="E36" s="44"/>
      <c r="F36" s="44"/>
      <c r="G36" s="44"/>
      <c r="H36" s="44"/>
      <c r="I36" s="45"/>
      <c r="J36" s="44"/>
    </row>
    <row r="37" spans="1:10" x14ac:dyDescent="0.25">
      <c r="A37" s="44"/>
      <c r="B37" s="44"/>
      <c r="C37" s="45"/>
      <c r="D37" s="44"/>
      <c r="E37" s="44"/>
      <c r="F37" s="44"/>
      <c r="G37" s="44"/>
      <c r="H37" s="44"/>
      <c r="I37" s="45"/>
      <c r="J37" s="44"/>
    </row>
    <row r="38" spans="1:10" x14ac:dyDescent="0.25">
      <c r="A38" s="44"/>
      <c r="B38" s="44"/>
      <c r="C38" s="45"/>
      <c r="D38" s="44"/>
      <c r="E38" s="44"/>
      <c r="F38" s="44"/>
      <c r="G38" s="44"/>
      <c r="H38" s="44"/>
      <c r="I38" s="45"/>
      <c r="J38" s="44"/>
    </row>
    <row r="39" spans="1:10" x14ac:dyDescent="0.25">
      <c r="A39" s="44"/>
      <c r="B39" s="44"/>
      <c r="C39" s="45"/>
      <c r="D39" s="44"/>
      <c r="E39" s="44"/>
      <c r="F39" s="44"/>
      <c r="G39" s="44"/>
      <c r="H39" s="44"/>
      <c r="I39" s="45"/>
      <c r="J39" s="44"/>
    </row>
    <row r="40" spans="1:10" x14ac:dyDescent="0.25">
      <c r="A40" s="44"/>
      <c r="B40" s="44"/>
      <c r="C40" s="45"/>
      <c r="D40" s="44"/>
      <c r="E40" s="44"/>
      <c r="F40" s="44"/>
      <c r="G40" s="44"/>
      <c r="H40" s="44"/>
      <c r="I40" s="45"/>
      <c r="J40" s="44"/>
    </row>
    <row r="41" spans="1:10" x14ac:dyDescent="0.25">
      <c r="A41" s="44"/>
      <c r="B41" s="44"/>
      <c r="C41" s="45"/>
      <c r="D41" s="44"/>
      <c r="E41" s="44"/>
      <c r="F41" s="44"/>
      <c r="G41" s="44"/>
      <c r="H41" s="44"/>
      <c r="I41" s="45"/>
      <c r="J41" s="44"/>
    </row>
    <row r="42" spans="1:10" x14ac:dyDescent="0.25">
      <c r="A42" s="44"/>
      <c r="B42" s="44"/>
      <c r="C42" s="45"/>
      <c r="D42" s="44"/>
      <c r="E42" s="44"/>
      <c r="F42" s="44"/>
      <c r="G42" s="44"/>
      <c r="H42" s="44"/>
      <c r="I42" s="45"/>
      <c r="J42" s="44"/>
    </row>
    <row r="43" spans="1:10" x14ac:dyDescent="0.25">
      <c r="A43" s="44"/>
      <c r="B43" s="44"/>
      <c r="C43" s="45"/>
      <c r="D43" s="44"/>
      <c r="E43" s="44"/>
      <c r="F43" s="44"/>
      <c r="G43" s="44"/>
      <c r="H43" s="44"/>
      <c r="I43" s="45"/>
      <c r="J43" s="44"/>
    </row>
    <row r="44" spans="1:10" x14ac:dyDescent="0.25">
      <c r="A44" s="44"/>
      <c r="B44" s="44"/>
      <c r="C44" s="45"/>
      <c r="D44" s="44"/>
      <c r="E44" s="44"/>
      <c r="F44" s="44"/>
      <c r="G44" s="44"/>
      <c r="H44" s="44"/>
      <c r="I44" s="45"/>
      <c r="J44" s="44"/>
    </row>
    <row r="45" spans="1:10" x14ac:dyDescent="0.25">
      <c r="A45" s="44"/>
      <c r="B45" s="44"/>
      <c r="C45" s="45"/>
      <c r="D45" s="44"/>
      <c r="E45" s="44"/>
      <c r="F45" s="44"/>
      <c r="G45" s="44"/>
      <c r="H45" s="44"/>
      <c r="I45" s="45"/>
      <c r="J45" s="44"/>
    </row>
    <row r="46" spans="1:10" x14ac:dyDescent="0.25">
      <c r="A46" s="44"/>
      <c r="B46" s="44"/>
      <c r="C46" s="45"/>
      <c r="D46" s="44"/>
      <c r="E46" s="44"/>
      <c r="F46" s="44"/>
      <c r="G46" s="44"/>
      <c r="H46" s="44"/>
      <c r="I46" s="45"/>
      <c r="J46" s="44"/>
    </row>
    <row r="47" spans="1:10" x14ac:dyDescent="0.25">
      <c r="A47" s="44"/>
      <c r="B47" s="44"/>
      <c r="C47" s="45"/>
      <c r="D47" s="44"/>
      <c r="E47" s="44"/>
      <c r="F47" s="44"/>
      <c r="G47" s="44"/>
      <c r="H47" s="44"/>
      <c r="I47" s="45"/>
      <c r="J47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topLeftCell="A19" zoomScaleNormal="100" workbookViewId="0">
      <selection activeCell="P29" sqref="P29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x14ac:dyDescent="0.2">
      <c r="A1" s="8"/>
      <c r="B1" s="5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63" t="str">
        <f>'Lista de Indicadores'!D9</f>
        <v>Indice de quejas</v>
      </c>
      <c r="D2" s="64"/>
      <c r="E2" s="65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66"/>
      <c r="D3" s="67"/>
      <c r="E3" s="68"/>
      <c r="F3" s="70" t="str">
        <f>'Lista de Indicadores'!E9</f>
        <v>(Nro. quejas atendidas a tiempo/Nro. total de quejas reportadas)*100</v>
      </c>
      <c r="G3" s="70"/>
      <c r="H3" s="70"/>
      <c r="I3" s="31" t="str">
        <f>IFERROR(AVERAGE(C8:N8),"-")</f>
        <v>-</v>
      </c>
      <c r="J3" s="19">
        <f>'Lista de Indicadores'!H9</f>
        <v>0.7</v>
      </c>
      <c r="K3" s="25">
        <v>0.3</v>
      </c>
      <c r="L3" s="19">
        <v>0.3</v>
      </c>
      <c r="M3" s="19">
        <v>0.4</v>
      </c>
      <c r="N3" s="20" t="str">
        <f>'Lista de Indicadores'!J9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12" t="s">
        <v>17</v>
      </c>
      <c r="D5" s="12" t="s">
        <v>16</v>
      </c>
      <c r="E5" s="12" t="s">
        <v>15</v>
      </c>
      <c r="F5" s="12" t="s">
        <v>14</v>
      </c>
      <c r="G5" s="12" t="s">
        <v>13</v>
      </c>
      <c r="H5" s="12" t="s">
        <v>12</v>
      </c>
      <c r="I5" s="12" t="s">
        <v>11</v>
      </c>
      <c r="J5" s="24" t="s">
        <v>10</v>
      </c>
      <c r="K5" s="12" t="s">
        <v>9</v>
      </c>
      <c r="L5" s="12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8.5" customHeight="1" x14ac:dyDescent="0.2">
      <c r="A6" s="8"/>
      <c r="B6" s="16" t="str">
        <f>'Lista de Indicadores'!F9</f>
        <v>Nro. quejas atendidas a tiempo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8.5" customHeight="1" x14ac:dyDescent="0.2">
      <c r="A7" s="8"/>
      <c r="B7" s="16" t="str">
        <f>'Lista de Indicadores'!G9</f>
        <v>Nro. total de quejas reportadas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12" t="s">
        <v>5</v>
      </c>
      <c r="C8" s="11" t="str">
        <f t="shared" ref="C8" si="0">IFERROR(IF(ISBLANK(C7),"",C6/C7),"-")</f>
        <v/>
      </c>
      <c r="D8" s="11" t="str">
        <f t="shared" ref="D8" si="1">IFERROR(IF(ISBLANK(D7),"",D6/D7),"-")</f>
        <v/>
      </c>
      <c r="E8" s="11" t="str">
        <f t="shared" ref="E8" si="2">IFERROR(IF(ISBLANK(E7),"",E6/E7),"-")</f>
        <v/>
      </c>
      <c r="F8" s="11" t="str">
        <f t="shared" ref="F8" si="3">IFERROR(IF(ISBLANK(F7),"",F6/F7),"-")</f>
        <v/>
      </c>
      <c r="G8" s="11" t="str">
        <f t="shared" ref="G8" si="4">IFERROR(IF(ISBLANK(G7),"",G6/G7),"-")</f>
        <v/>
      </c>
      <c r="H8" s="11" t="str">
        <f t="shared" ref="H8" si="5">IFERROR(IF(ISBLANK(H7),"",H6/H7),"-")</f>
        <v/>
      </c>
      <c r="I8" s="11" t="str">
        <f t="shared" ref="I8" si="6">IFERROR(IF(ISBLANK(I7),"",I6/I7),"-")</f>
        <v/>
      </c>
      <c r="J8" s="11" t="str">
        <f t="shared" ref="J8" si="7">IFERROR(IF(ISBLANK(J7),"",J6/J7),"-")</f>
        <v/>
      </c>
      <c r="K8" s="11" t="str">
        <f t="shared" ref="K8" si="8">IFERROR(IF(ISBLANK(K7),"",K6/K7),"-")</f>
        <v/>
      </c>
      <c r="L8" s="11" t="str">
        <f t="shared" ref="L8" si="9">IFERROR(IF(ISBLANK(L7),"",L6/L7),"-")</f>
        <v/>
      </c>
      <c r="M8" s="11" t="str">
        <f t="shared" ref="M8" si="10">IFERROR(IF(ISBLANK(M7),"",M6/M7),"-")</f>
        <v/>
      </c>
      <c r="N8" s="11" t="str">
        <f t="shared" ref="N8" si="11">IFERROR(IF(ISBLANK(N7),"",N6/N7),"-")</f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50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0:G40"/>
    <mergeCell ref="C41:G41"/>
    <mergeCell ref="C42:G42"/>
    <mergeCell ref="C43:G43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C35:G35"/>
    <mergeCell ref="C36:G36"/>
    <mergeCell ref="C37:G37"/>
    <mergeCell ref="C38:G38"/>
    <mergeCell ref="C39:G39"/>
    <mergeCell ref="H32:I32"/>
    <mergeCell ref="B2:B3"/>
    <mergeCell ref="C4:N4"/>
    <mergeCell ref="C2:E3"/>
    <mergeCell ref="F2:H2"/>
    <mergeCell ref="F3:H3"/>
    <mergeCell ref="C31:G31"/>
    <mergeCell ref="C32:G32"/>
    <mergeCell ref="C33:G33"/>
    <mergeCell ref="H33:I33"/>
    <mergeCell ref="H34:I34"/>
    <mergeCell ref="H31:I31"/>
    <mergeCell ref="C34:G34"/>
  </mergeCells>
  <phoneticPr fontId="13" type="noConversion"/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topLeftCell="A7" zoomScaleNormal="100" workbookViewId="0">
      <selection activeCell="P14" sqref="P14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Indicadores'!D10</f>
        <v>Cumplimiento de pedidos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58.5" customHeight="1" x14ac:dyDescent="0.2">
      <c r="A3" s="8"/>
      <c r="B3" s="59"/>
      <c r="C3" s="78"/>
      <c r="D3" s="62"/>
      <c r="E3" s="79"/>
      <c r="F3" s="70" t="str">
        <f>'Lista de Indicadores'!E10</f>
        <v>(Nro. pedidos atendidos dentro de plazo de atención/Nro. total de pedidos recepcionados por el cliente)*100</v>
      </c>
      <c r="G3" s="70"/>
      <c r="H3" s="70"/>
      <c r="I3" s="31" t="str">
        <f>IFERROR(AVERAGE(C8:N8),"-")</f>
        <v>-</v>
      </c>
      <c r="J3" s="19">
        <f>'Lista de Indicadores'!H10</f>
        <v>1</v>
      </c>
      <c r="K3" s="25">
        <v>0.3</v>
      </c>
      <c r="L3" s="19">
        <v>0.3</v>
      </c>
      <c r="M3" s="19">
        <v>0.4</v>
      </c>
      <c r="N3" s="20" t="str">
        <f>'Lista de Indicadores'!J10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Indicadores'!F10</f>
        <v>Nro. pedidos atendidos dentro de plazo de atención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38.25" x14ac:dyDescent="0.2">
      <c r="A7" s="8"/>
      <c r="B7" s="16" t="str">
        <f>'Lista de Indicadores'!G10</f>
        <v>Nro. total de pedidos recepcionados por el cliente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Indicadores'!D11</f>
        <v>Cumplimiento compras a proveedores calificados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Indicadores'!E11</f>
        <v>(Nro. compras realizadas a proveedores calificados/Nro. de compras realizadas)*100</v>
      </c>
      <c r="G3" s="70"/>
      <c r="H3" s="70"/>
      <c r="I3" s="31" t="str">
        <f>IFERROR(AVERAGE(C8:N8),"-")</f>
        <v>-</v>
      </c>
      <c r="J3" s="19">
        <f>'Lista de Indicadores'!H11</f>
        <v>1</v>
      </c>
      <c r="K3" s="25">
        <v>0.3</v>
      </c>
      <c r="L3" s="19">
        <v>0.3</v>
      </c>
      <c r="M3" s="19">
        <v>0.4</v>
      </c>
      <c r="N3" s="20" t="str">
        <f>'Lista de Indicadores'!J11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Indicadores'!F11</f>
        <v>Nro. compras realizadas a proveedores calificados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Indicadores'!G11</f>
        <v>Nro. de compras realizadas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Indicadores'!D12</f>
        <v>Cumplimiento de mantenimientos programados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Indicadores'!E12</f>
        <v>(Nro. mantenimientos ejecutadas dentro del plazo/Nro. total de mantenimientos programados)*100</v>
      </c>
      <c r="G3" s="70"/>
      <c r="H3" s="70"/>
      <c r="I3" s="31" t="str">
        <f>IFERROR(AVERAGE(C8:N8),"-")</f>
        <v>-</v>
      </c>
      <c r="J3" s="19">
        <f>'Lista de Indicadores'!H11</f>
        <v>1</v>
      </c>
      <c r="K3" s="25">
        <v>0.3</v>
      </c>
      <c r="L3" s="19">
        <v>0.3</v>
      </c>
      <c r="M3" s="19">
        <v>0.4</v>
      </c>
      <c r="N3" s="20" t="str">
        <f>'Lista de Indicadores'!J12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Indicadores'!F12</f>
        <v>Nro. mantenimientos ejecutadas dentro del plazo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38.25" x14ac:dyDescent="0.2">
      <c r="A7" s="8"/>
      <c r="B7" s="16" t="str">
        <f>'Lista de Indicadores'!G12</f>
        <v>Nro. total de mantenimientos programados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Indicadores'!D13</f>
        <v>Cumplimiento del programa de capacitación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Indicadores'!E13</f>
        <v>(Nro. capacitaciones ejecutadas dentro del plazo/Nro. total de capacitaciones programadas)*100</v>
      </c>
      <c r="G3" s="70"/>
      <c r="H3" s="70"/>
      <c r="I3" s="31" t="str">
        <f>IFERROR(AVERAGE(C8:N8),"-")</f>
        <v>-</v>
      </c>
      <c r="J3" s="19">
        <f>'Lista de Indicadores'!H13</f>
        <v>1</v>
      </c>
      <c r="K3" s="25">
        <v>0.3</v>
      </c>
      <c r="L3" s="19">
        <v>0.3</v>
      </c>
      <c r="M3" s="19">
        <v>0.4</v>
      </c>
      <c r="N3" s="20" t="str">
        <f>'Lista de Indicadores'!J13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Indicadores'!F13</f>
        <v>Nro. capacitaciones ejecutadas dentro del plazo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38.25" x14ac:dyDescent="0.2">
      <c r="A7" s="8"/>
      <c r="B7" s="16" t="str">
        <f>'Lista de Indicadores'!G13</f>
        <v>Nro. total de capacitaciones programadas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Indicadores'!D14</f>
        <v>Cumplimiento de inspecciones programadas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Indicadores'!E14</f>
        <v>(Nro. de inspecciones ejecutadas/Nro. total de inspecciones programadas)*100</v>
      </c>
      <c r="G3" s="70"/>
      <c r="H3" s="70"/>
      <c r="I3" s="31" t="str">
        <f>IFERROR(AVERAGE(C8:N8),"-")</f>
        <v>-</v>
      </c>
      <c r="J3" s="19">
        <f>'Lista de Indicadores'!H14</f>
        <v>1</v>
      </c>
      <c r="K3" s="25">
        <v>0.3</v>
      </c>
      <c r="L3" s="19">
        <v>0.3</v>
      </c>
      <c r="M3" s="19">
        <v>0.4</v>
      </c>
      <c r="N3" s="20" t="str">
        <f>'Lista de Indicadores'!J14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Indicadores'!F14</f>
        <v>Nro. de inspecciones ejecutadas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Indicadores'!G14</f>
        <v>Nro. total de inspecciones programadas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Indicadores'!D15</f>
        <v>Reducción de accidentes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Indicadores'!E15</f>
        <v>(Nro. de accidentes ocurridos/Nro. de acciones correctivas planificadas)*100</v>
      </c>
      <c r="G3" s="70"/>
      <c r="H3" s="70"/>
      <c r="I3" s="31" t="str">
        <f>IFERROR(AVERAGE(C8:N8),"-")</f>
        <v>-</v>
      </c>
      <c r="J3" s="19">
        <f>'Lista de Indicadores'!H15</f>
        <v>1</v>
      </c>
      <c r="K3" s="25">
        <v>0.3</v>
      </c>
      <c r="L3" s="19">
        <v>0.3</v>
      </c>
      <c r="M3" s="19">
        <v>0.4</v>
      </c>
      <c r="N3" s="20" t="str">
        <f>'Lista de Indicadores'!J15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Indicadores'!F15</f>
        <v>Nro. de accidentes ocurridos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Indicadores'!G15</f>
        <v>Nro. de acciones correctivas planificadas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Indicadores'!D16</f>
        <v>Reducción de incidentes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Indicadores'!E16</f>
        <v>(Nro. de incidentes reportados/Nro. acciones de mejoras realizadas)*100</v>
      </c>
      <c r="G3" s="70"/>
      <c r="H3" s="70"/>
      <c r="I3" s="31" t="str">
        <f>IFERROR(AVERAGE(C8:N8),"-")</f>
        <v>-</v>
      </c>
      <c r="J3" s="19">
        <f>'Lista de Indicadores'!H16</f>
        <v>1</v>
      </c>
      <c r="K3" s="25">
        <v>0.3</v>
      </c>
      <c r="L3" s="19">
        <v>0.3</v>
      </c>
      <c r="M3" s="19">
        <v>0.4</v>
      </c>
      <c r="N3" s="20" t="str">
        <f>'Lista de Indicadores'!J16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Indicadores'!F16</f>
        <v>Nro. de incidentes reportados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Indicadores'!G16</f>
        <v>Nro. acciones de mejoras realizadas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Indicadores'!D17</f>
        <v>Cumplimiento de requisitos legales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Indicadores'!E17</f>
        <v>(Nro. de requisitos legales con acciones cumplidas y mantenidas/Nro. total de requisitos legales)*100</v>
      </c>
      <c r="G3" s="70"/>
      <c r="H3" s="70"/>
      <c r="I3" s="31" t="str">
        <f>IFERROR(AVERAGE(C8:N8),"-")</f>
        <v>-</v>
      </c>
      <c r="J3" s="19">
        <f>'Lista de Indicadores'!H17</f>
        <v>1</v>
      </c>
      <c r="K3" s="25">
        <v>0.3</v>
      </c>
      <c r="L3" s="19">
        <v>0.3</v>
      </c>
      <c r="M3" s="19">
        <v>0.4</v>
      </c>
      <c r="N3" s="20" t="str">
        <f>'Lista de Indicadores'!J17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Indicadores'!F17</f>
        <v>Nro. de requisitos legales con acciones cumplidas y mantenidas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Indicadores'!G17</f>
        <v>Nro. total de requisitos legales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Indicadores'!D18</f>
        <v>Cumplimiento del programa auditorias internas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45" customHeight="1" x14ac:dyDescent="0.2">
      <c r="A3" s="8"/>
      <c r="B3" s="59"/>
      <c r="C3" s="78"/>
      <c r="D3" s="62"/>
      <c r="E3" s="79"/>
      <c r="F3" s="70" t="str">
        <f>'Lista de Indicadores'!E18</f>
        <v>(Nro. de auditorias ejecutadas/Nro. total de auditorias programadas)*100</v>
      </c>
      <c r="G3" s="70"/>
      <c r="H3" s="70"/>
      <c r="I3" s="31" t="str">
        <f>IFERROR(AVERAGE(C8:N8),"-")</f>
        <v>-</v>
      </c>
      <c r="J3" s="19">
        <f>'Lista de Indicadores'!H18</f>
        <v>1</v>
      </c>
      <c r="K3" s="25">
        <v>0.3</v>
      </c>
      <c r="L3" s="19">
        <v>0.3</v>
      </c>
      <c r="M3" s="19">
        <v>0.4</v>
      </c>
      <c r="N3" s="20" t="str">
        <f>'Lista de Indicadores'!J18</f>
        <v>Semestral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Indicadores'!F18</f>
        <v>Nro. de auditorias ejecutadas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Indicadores'!G18</f>
        <v>Nro. total de auditorias programada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Indicadores'!D19</f>
        <v>Indice de mejoras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69" customHeight="1" x14ac:dyDescent="0.2">
      <c r="A3" s="8"/>
      <c r="B3" s="59"/>
      <c r="C3" s="78"/>
      <c r="D3" s="62"/>
      <c r="E3" s="79"/>
      <c r="F3" s="70" t="str">
        <f>'Lista de Indicadores'!E19</f>
        <v>(Nro. de acciones de mejora detectada como resultado de la revisión por la dirección/Nro. total de revisiones por la dirección ejecutadas)*100</v>
      </c>
      <c r="G3" s="70"/>
      <c r="H3" s="70"/>
      <c r="I3" s="31" t="str">
        <f>IFERROR(AVERAGE(C8:N8),"-")</f>
        <v>-</v>
      </c>
      <c r="J3" s="19">
        <f>'Lista de Indicadores'!H19</f>
        <v>1</v>
      </c>
      <c r="K3" s="25">
        <v>0.3</v>
      </c>
      <c r="L3" s="19">
        <v>0.3</v>
      </c>
      <c r="M3" s="19">
        <v>0.4</v>
      </c>
      <c r="N3" s="20" t="str">
        <f>'Lista de Indicadores'!J19</f>
        <v>Anual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51" x14ac:dyDescent="0.2">
      <c r="A6" s="8"/>
      <c r="B6" s="16" t="str">
        <f>'Lista de Indicadores'!F19</f>
        <v>Nro. de acciones de mejora detectada como resultado de la revisión por la dirección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38.25" x14ac:dyDescent="0.2">
      <c r="A7" s="8"/>
      <c r="B7" s="16" t="str">
        <f>'Lista de Indicadores'!G19</f>
        <v>Nro. total de revisiones por la dirección ejecutadas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Indicadores'!D20</f>
        <v>Cumplimiento de Declaración de Impuestos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69" customHeight="1" x14ac:dyDescent="0.2">
      <c r="A3" s="8"/>
      <c r="B3" s="59"/>
      <c r="C3" s="78"/>
      <c r="D3" s="62"/>
      <c r="E3" s="79"/>
      <c r="F3" s="70" t="str">
        <f>'Lista de Indicadores'!E20</f>
        <v>(Declaración de Impuesto realizado en la fecha programada/Declaración programaada)*100</v>
      </c>
      <c r="G3" s="70"/>
      <c r="H3" s="70"/>
      <c r="I3" s="31" t="str">
        <f>IFERROR(AVERAGE(C8:N8),"-")</f>
        <v>-</v>
      </c>
      <c r="J3" s="19">
        <f>'Lista de Indicadores'!H20</f>
        <v>1</v>
      </c>
      <c r="K3" s="25">
        <v>0.3</v>
      </c>
      <c r="L3" s="19">
        <v>0.3</v>
      </c>
      <c r="M3" s="19">
        <v>0.4</v>
      </c>
      <c r="N3" s="20" t="str">
        <f>'Lista de Indicadores'!J20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Indicadores'!F20</f>
        <v>Declaración de Impuesto realizado en la fecha programada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x14ac:dyDescent="0.2">
      <c r="A7" s="8"/>
      <c r="B7" s="16" t="str">
        <f>'Lista de Indicadores'!G20</f>
        <v>Declaración programaada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topLeftCell="A2" zoomScaleNormal="100" workbookViewId="0">
      <selection activeCell="O2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Indicadores'!D21</f>
        <v>Cumplimiento de los Requisitos de Diseño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69" customHeight="1" x14ac:dyDescent="0.2">
      <c r="A3" s="8"/>
      <c r="B3" s="59"/>
      <c r="C3" s="78"/>
      <c r="D3" s="62"/>
      <c r="E3" s="79"/>
      <c r="F3" s="70" t="str">
        <f>'Lista de Indicadores'!E21</f>
        <v>(Nuevos diseños producidos y  aceptados por el cliente/Numero de diseño aprobados por el clientes)*100</v>
      </c>
      <c r="G3" s="70"/>
      <c r="H3" s="70"/>
      <c r="I3" s="31" t="str">
        <f>IFERROR(AVERAGE(C8:N8),"-")</f>
        <v>-</v>
      </c>
      <c r="J3" s="19">
        <f>'Lista de Indicadores'!H21</f>
        <v>1</v>
      </c>
      <c r="K3" s="25">
        <v>0.3</v>
      </c>
      <c r="L3" s="19">
        <v>0.3</v>
      </c>
      <c r="M3" s="19">
        <v>0.4</v>
      </c>
      <c r="N3" s="20" t="str">
        <f>'Lista de Indicadores'!J21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Indicadores'!F21</f>
        <v>Nuevos diseños producidos y  aceptados por el cliente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Indicadores'!G21</f>
        <v>Numero de diseño aprobados por el clientes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zoomScaleNormal="100" workbookViewId="0">
      <selection activeCell="L6" sqref="L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Indicadores'!D22</f>
        <v>Cumplimiento de revision de requisito del producto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69" customHeight="1" x14ac:dyDescent="0.2">
      <c r="A3" s="8"/>
      <c r="B3" s="59"/>
      <c r="C3" s="78"/>
      <c r="D3" s="62"/>
      <c r="E3" s="79"/>
      <c r="F3" s="70" t="str">
        <f>'Lista de Indicadores'!E22</f>
        <v>(Nro. de orden de pedido liberado por el encargado de calidad/Nro. total de orden de pedido)*100</v>
      </c>
      <c r="G3" s="70"/>
      <c r="H3" s="70"/>
      <c r="I3" s="31" t="str">
        <f>IFERROR(AVERAGE(C8:N8),"-")</f>
        <v>-</v>
      </c>
      <c r="J3" s="19">
        <f>'Lista de Indicadores'!H22</f>
        <v>1</v>
      </c>
      <c r="K3" s="25">
        <v>0.3</v>
      </c>
      <c r="L3" s="19">
        <v>0.3</v>
      </c>
      <c r="M3" s="19">
        <v>0.4</v>
      </c>
      <c r="N3" s="20" t="str">
        <f>'Lista de Indicadores'!J22</f>
        <v>Mensual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8"/>
      <c r="B6" s="16" t="str">
        <f>'Lista de Indicadores'!F22</f>
        <v>Nro. de orden de pedido liberado por el encargado de calidad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Indicadores'!G22</f>
        <v>Nro. total de orden de pedido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topLeftCell="A7" zoomScaleNormal="100" workbookViewId="0">
      <selection activeCell="O1" sqref="O1:O1048576"/>
    </sheetView>
  </sheetViews>
  <sheetFormatPr baseColWidth="10" defaultColWidth="11.42578125" defaultRowHeight="12.75" x14ac:dyDescent="0.2"/>
  <cols>
    <col min="1" max="1" width="3.140625" style="1" customWidth="1"/>
    <col min="2" max="2" width="22.85546875" style="1" customWidth="1"/>
    <col min="3" max="4" width="11.85546875" style="1" customWidth="1"/>
    <col min="5" max="5" width="11.85546875" style="2" customWidth="1"/>
    <col min="6" max="14" width="11.85546875" style="1" customWidth="1"/>
    <col min="15" max="15" width="2.5703125" style="1" customWidth="1"/>
    <col min="16" max="16384" width="11.42578125" style="1"/>
  </cols>
  <sheetData>
    <row r="1" spans="1:27" ht="21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7"/>
    </row>
    <row r="2" spans="1:27" ht="19.5" customHeight="1" x14ac:dyDescent="0.2">
      <c r="A2" s="8"/>
      <c r="B2" s="58" t="s">
        <v>47</v>
      </c>
      <c r="C2" s="75" t="str">
        <f>'Lista de Indicadores'!D23</f>
        <v>Eficacia de las acciones de los riesgos y oportunidades</v>
      </c>
      <c r="D2" s="76"/>
      <c r="E2" s="77"/>
      <c r="F2" s="69" t="s">
        <v>46</v>
      </c>
      <c r="G2" s="69"/>
      <c r="H2" s="69"/>
      <c r="I2" s="30" t="s">
        <v>23</v>
      </c>
      <c r="J2" s="21" t="s">
        <v>19</v>
      </c>
      <c r="K2" s="23" t="s">
        <v>22</v>
      </c>
      <c r="L2" s="26" t="s">
        <v>21</v>
      </c>
      <c r="M2" s="22" t="s">
        <v>20</v>
      </c>
      <c r="N2" s="21" t="s">
        <v>48</v>
      </c>
      <c r="O2" s="27"/>
    </row>
    <row r="3" spans="1:27" ht="69" customHeight="1" x14ac:dyDescent="0.2">
      <c r="A3" s="8"/>
      <c r="B3" s="59"/>
      <c r="C3" s="78"/>
      <c r="D3" s="62"/>
      <c r="E3" s="79"/>
      <c r="F3" s="70" t="str">
        <f>'Lista de Indicadores'!E23</f>
        <v>(Nro. de revisión de eficacia de acciones / Nro. de revisiones programadas)*100</v>
      </c>
      <c r="G3" s="70"/>
      <c r="H3" s="70"/>
      <c r="I3" s="31" t="str">
        <f>IFERROR(AVERAGE(C8:N8),"-")</f>
        <v>-</v>
      </c>
      <c r="J3" s="19">
        <f>'Lista de Indicadores'!H23</f>
        <v>1</v>
      </c>
      <c r="K3" s="25">
        <v>0.3</v>
      </c>
      <c r="L3" s="19">
        <v>0.3</v>
      </c>
      <c r="M3" s="19">
        <v>0.4</v>
      </c>
      <c r="N3" s="20" t="str">
        <f>'Lista de Indicadores'!J23</f>
        <v>Semestral</v>
      </c>
      <c r="O3" s="2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7.25" customHeight="1" x14ac:dyDescent="0.2">
      <c r="A4" s="8"/>
      <c r="B4" s="18">
        <v>2021</v>
      </c>
      <c r="C4" s="60"/>
      <c r="D4" s="61"/>
      <c r="E4" s="61"/>
      <c r="F4" s="62"/>
      <c r="G4" s="62"/>
      <c r="H4" s="62"/>
      <c r="I4" s="61"/>
      <c r="J4" s="61"/>
      <c r="K4" s="61"/>
      <c r="L4" s="61"/>
      <c r="M4" s="61"/>
      <c r="N4" s="61"/>
      <c r="O4" s="27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8.5" customHeight="1" x14ac:dyDescent="0.2">
      <c r="A5" s="8"/>
      <c r="B5" s="17"/>
      <c r="C5" s="24" t="s">
        <v>17</v>
      </c>
      <c r="D5" s="24" t="s">
        <v>16</v>
      </c>
      <c r="E5" s="24" t="s">
        <v>15</v>
      </c>
      <c r="F5" s="24" t="s">
        <v>14</v>
      </c>
      <c r="G5" s="24" t="s">
        <v>13</v>
      </c>
      <c r="H5" s="24" t="s">
        <v>12</v>
      </c>
      <c r="I5" s="24" t="s">
        <v>11</v>
      </c>
      <c r="J5" s="24" t="s">
        <v>10</v>
      </c>
      <c r="K5" s="24" t="s">
        <v>9</v>
      </c>
      <c r="L5" s="24" t="s">
        <v>8</v>
      </c>
      <c r="M5" s="24" t="s">
        <v>7</v>
      </c>
      <c r="N5" s="24" t="s">
        <v>6</v>
      </c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5.5" x14ac:dyDescent="0.2">
      <c r="A6" s="8"/>
      <c r="B6" s="16" t="str">
        <f>'Lista de Indicadores'!F23</f>
        <v xml:space="preserve">Nro. de revisión de eficacia de acciones 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5.5" x14ac:dyDescent="0.2">
      <c r="A7" s="8"/>
      <c r="B7" s="16" t="str">
        <f>'Lista de Indicadores'!G23</f>
        <v>Nro. de revisiones programadas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0" customFormat="1" ht="27" customHeight="1" x14ac:dyDescent="0.25">
      <c r="A8" s="13"/>
      <c r="B8" s="24" t="s">
        <v>5</v>
      </c>
      <c r="C8" s="11" t="str">
        <f t="shared" ref="C8:N8" si="0">IFERROR(IF(ISBLANK(C7),"",C6/C7),"-")</f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  <c r="H8" s="11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29"/>
    </row>
    <row r="9" spans="1:27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7"/>
    </row>
    <row r="10" spans="1:27" x14ac:dyDescent="0.2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27"/>
    </row>
    <row r="11" spans="1:2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7"/>
    </row>
    <row r="12" spans="1:2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7"/>
    </row>
    <row r="13" spans="1:2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7"/>
    </row>
    <row r="14" spans="1:2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7"/>
    </row>
    <row r="15" spans="1:2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7"/>
    </row>
    <row r="16" spans="1:2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7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7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7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27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7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27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7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7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7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7"/>
    </row>
    <row r="26" spans="1:1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s="3" customFormat="1" x14ac:dyDescent="0.2">
      <c r="B30" s="7" t="s">
        <v>4</v>
      </c>
    </row>
    <row r="31" spans="1:15" s="5" customFormat="1" ht="25.5" x14ac:dyDescent="0.25">
      <c r="B31" s="6" t="s">
        <v>3</v>
      </c>
      <c r="C31" s="71" t="s">
        <v>2</v>
      </c>
      <c r="D31" s="72"/>
      <c r="E31" s="72"/>
      <c r="F31" s="72"/>
      <c r="G31" s="73"/>
      <c r="H31" s="74" t="s">
        <v>1</v>
      </c>
      <c r="I31" s="74"/>
      <c r="J31" s="51"/>
      <c r="K31" s="42" t="s">
        <v>0</v>
      </c>
      <c r="L31" s="35"/>
      <c r="M31" s="36"/>
      <c r="N31" s="37"/>
    </row>
    <row r="32" spans="1:15" s="5" customFormat="1" x14ac:dyDescent="0.25">
      <c r="B32" s="32" t="s">
        <v>17</v>
      </c>
      <c r="C32" s="54"/>
      <c r="D32" s="55"/>
      <c r="E32" s="55"/>
      <c r="F32" s="55"/>
      <c r="G32" s="56"/>
      <c r="H32" s="57"/>
      <c r="I32" s="57"/>
      <c r="J32" s="32"/>
      <c r="K32" s="32"/>
      <c r="L32" s="38"/>
      <c r="M32" s="38"/>
      <c r="N32" s="39"/>
    </row>
    <row r="33" spans="2:14" s="5" customFormat="1" x14ac:dyDescent="0.25">
      <c r="B33" s="32" t="s">
        <v>16</v>
      </c>
      <c r="C33" s="54"/>
      <c r="D33" s="55"/>
      <c r="E33" s="55"/>
      <c r="F33" s="55"/>
      <c r="G33" s="56"/>
      <c r="H33" s="57"/>
      <c r="I33" s="57"/>
      <c r="J33" s="32"/>
      <c r="K33" s="32"/>
      <c r="L33" s="40"/>
      <c r="M33" s="39"/>
      <c r="N33" s="39"/>
    </row>
    <row r="34" spans="2:14" s="3" customFormat="1" x14ac:dyDescent="0.2">
      <c r="B34" s="32" t="s">
        <v>15</v>
      </c>
      <c r="C34" s="54"/>
      <c r="D34" s="55"/>
      <c r="E34" s="55"/>
      <c r="F34" s="55"/>
      <c r="G34" s="56"/>
      <c r="H34" s="57"/>
      <c r="I34" s="57"/>
      <c r="J34" s="32"/>
      <c r="K34" s="32"/>
      <c r="L34" s="38"/>
      <c r="M34" s="39"/>
      <c r="N34" s="39"/>
    </row>
    <row r="35" spans="2:14" s="3" customFormat="1" x14ac:dyDescent="0.2">
      <c r="B35" s="32" t="s">
        <v>14</v>
      </c>
      <c r="C35" s="54"/>
      <c r="D35" s="55"/>
      <c r="E35" s="55"/>
      <c r="F35" s="55"/>
      <c r="G35" s="56"/>
      <c r="H35" s="57"/>
      <c r="I35" s="57"/>
      <c r="J35" s="32"/>
      <c r="K35" s="32"/>
      <c r="L35" s="41"/>
      <c r="M35" s="41"/>
      <c r="N35" s="41"/>
    </row>
    <row r="36" spans="2:14" s="3" customFormat="1" x14ac:dyDescent="0.2">
      <c r="B36" s="32" t="s">
        <v>13</v>
      </c>
      <c r="C36" s="54"/>
      <c r="D36" s="55"/>
      <c r="E36" s="55"/>
      <c r="F36" s="55"/>
      <c r="G36" s="56"/>
      <c r="H36" s="57"/>
      <c r="I36" s="57"/>
      <c r="J36" s="32"/>
      <c r="K36" s="32"/>
      <c r="L36" s="41"/>
      <c r="M36" s="41"/>
      <c r="N36" s="41"/>
    </row>
    <row r="37" spans="2:14" s="3" customFormat="1" x14ac:dyDescent="0.2">
      <c r="B37" s="32" t="s">
        <v>12</v>
      </c>
      <c r="C37" s="54"/>
      <c r="D37" s="55"/>
      <c r="E37" s="55"/>
      <c r="F37" s="55"/>
      <c r="G37" s="56"/>
      <c r="H37" s="57"/>
      <c r="I37" s="57"/>
      <c r="J37" s="32"/>
      <c r="K37" s="32"/>
      <c r="L37" s="41"/>
      <c r="M37" s="41"/>
      <c r="N37" s="41"/>
    </row>
    <row r="38" spans="2:14" s="3" customFormat="1" x14ac:dyDescent="0.2">
      <c r="B38" s="32" t="s">
        <v>11</v>
      </c>
      <c r="C38" s="54"/>
      <c r="D38" s="55"/>
      <c r="E38" s="55"/>
      <c r="F38" s="55"/>
      <c r="G38" s="56"/>
      <c r="H38" s="57"/>
      <c r="I38" s="57"/>
      <c r="J38" s="32"/>
      <c r="K38" s="32"/>
      <c r="L38" s="41"/>
      <c r="M38" s="41"/>
      <c r="N38" s="41"/>
    </row>
    <row r="39" spans="2:14" s="3" customFormat="1" x14ac:dyDescent="0.2">
      <c r="B39" s="32" t="s">
        <v>10</v>
      </c>
      <c r="C39" s="54"/>
      <c r="D39" s="55"/>
      <c r="E39" s="55"/>
      <c r="F39" s="55"/>
      <c r="G39" s="56"/>
      <c r="H39" s="57"/>
      <c r="I39" s="57"/>
      <c r="J39" s="32"/>
      <c r="K39" s="32"/>
      <c r="L39" s="41"/>
      <c r="M39" s="41"/>
      <c r="N39" s="41"/>
    </row>
    <row r="40" spans="2:14" s="3" customFormat="1" x14ac:dyDescent="0.2">
      <c r="B40" s="32" t="s">
        <v>49</v>
      </c>
      <c r="C40" s="54"/>
      <c r="D40" s="55"/>
      <c r="E40" s="55"/>
      <c r="F40" s="55"/>
      <c r="G40" s="56"/>
      <c r="H40" s="57"/>
      <c r="I40" s="57"/>
      <c r="J40" s="32"/>
      <c r="K40" s="32"/>
      <c r="L40" s="41"/>
      <c r="M40" s="41"/>
      <c r="N40" s="41"/>
    </row>
    <row r="41" spans="2:14" s="3" customFormat="1" x14ac:dyDescent="0.2">
      <c r="B41" s="32" t="s">
        <v>8</v>
      </c>
      <c r="C41" s="54"/>
      <c r="D41" s="55"/>
      <c r="E41" s="55"/>
      <c r="F41" s="55"/>
      <c r="G41" s="56"/>
      <c r="H41" s="57"/>
      <c r="I41" s="57"/>
      <c r="J41" s="32"/>
      <c r="K41" s="32"/>
      <c r="L41" s="41"/>
      <c r="M41" s="41"/>
      <c r="N41" s="41"/>
    </row>
    <row r="42" spans="2:14" s="3" customFormat="1" x14ac:dyDescent="0.2">
      <c r="B42" s="32" t="s">
        <v>7</v>
      </c>
      <c r="C42" s="54"/>
      <c r="D42" s="55"/>
      <c r="E42" s="55"/>
      <c r="F42" s="55"/>
      <c r="G42" s="56"/>
      <c r="H42" s="57"/>
      <c r="I42" s="57"/>
      <c r="J42" s="32"/>
      <c r="K42" s="32"/>
      <c r="L42" s="41"/>
      <c r="M42" s="41"/>
      <c r="N42" s="41"/>
    </row>
    <row r="43" spans="2:14" s="3" customFormat="1" x14ac:dyDescent="0.2">
      <c r="B43" s="32" t="s">
        <v>6</v>
      </c>
      <c r="C43" s="54"/>
      <c r="D43" s="55"/>
      <c r="E43" s="55"/>
      <c r="F43" s="55"/>
      <c r="G43" s="56"/>
      <c r="H43" s="57"/>
      <c r="I43" s="57"/>
      <c r="J43" s="32"/>
      <c r="K43" s="32"/>
      <c r="L43" s="41"/>
      <c r="M43" s="41"/>
      <c r="N43" s="41"/>
    </row>
    <row r="44" spans="2:14" s="3" customFormat="1" x14ac:dyDescent="0.2">
      <c r="B44" s="4"/>
      <c r="C44" s="4"/>
      <c r="D44" s="4"/>
      <c r="E44" s="4"/>
      <c r="F44" s="4"/>
      <c r="G44" s="4"/>
    </row>
    <row r="45" spans="2:14" s="3" customFormat="1" x14ac:dyDescent="0.2">
      <c r="B45" s="4"/>
      <c r="C45" s="4"/>
      <c r="D45" s="4"/>
      <c r="E45" s="4"/>
      <c r="F45" s="4"/>
      <c r="G45" s="4"/>
    </row>
    <row r="46" spans="2:14" s="3" customFormat="1" x14ac:dyDescent="0.2">
      <c r="B46" s="4"/>
      <c r="C46" s="4"/>
      <c r="D46" s="4"/>
      <c r="E46" s="4"/>
      <c r="F46" s="4"/>
      <c r="G46" s="4"/>
    </row>
    <row r="47" spans="2:14" s="3" customFormat="1" x14ac:dyDescent="0.2">
      <c r="B47" s="4"/>
      <c r="C47" s="4"/>
      <c r="D47" s="4"/>
      <c r="E47" s="4"/>
      <c r="F47" s="4"/>
      <c r="G47" s="4"/>
    </row>
    <row r="48" spans="2:14" s="3" customFormat="1" x14ac:dyDescent="0.2">
      <c r="B48" s="4"/>
      <c r="C48" s="4"/>
      <c r="D48" s="4"/>
      <c r="E48" s="4"/>
      <c r="F48" s="4"/>
      <c r="G48" s="4"/>
    </row>
    <row r="49" spans="2:7" s="3" customFormat="1" x14ac:dyDescent="0.2">
      <c r="B49" s="4"/>
      <c r="C49" s="4"/>
      <c r="D49" s="4"/>
      <c r="E49" s="4"/>
      <c r="F49" s="4"/>
      <c r="G49" s="4"/>
    </row>
    <row r="50" spans="2:7" s="3" customFormat="1" x14ac:dyDescent="0.2">
      <c r="B50" s="4"/>
      <c r="C50" s="4"/>
      <c r="D50" s="4"/>
      <c r="E50" s="4"/>
      <c r="F50" s="4"/>
      <c r="G50" s="4"/>
    </row>
    <row r="51" spans="2:7" s="3" customFormat="1" x14ac:dyDescent="0.2">
      <c r="B51" s="4"/>
      <c r="C51" s="4"/>
      <c r="D51" s="4"/>
      <c r="E51" s="4"/>
      <c r="F51" s="4"/>
      <c r="G51" s="4"/>
    </row>
    <row r="52" spans="2:7" s="3" customFormat="1" x14ac:dyDescent="0.2">
      <c r="B52" s="4"/>
      <c r="C52" s="4"/>
      <c r="D52" s="4"/>
      <c r="E52" s="4"/>
      <c r="F52" s="4"/>
      <c r="G52" s="4"/>
    </row>
    <row r="53" spans="2:7" s="3" customFormat="1" x14ac:dyDescent="0.2">
      <c r="B53" s="4"/>
      <c r="C53" s="4"/>
      <c r="D53" s="4"/>
      <c r="E53" s="4"/>
      <c r="F53" s="4"/>
      <c r="G53" s="4"/>
    </row>
    <row r="54" spans="2:7" s="3" customFormat="1" x14ac:dyDescent="0.2">
      <c r="B54" s="4"/>
      <c r="C54" s="4"/>
      <c r="D54" s="4"/>
      <c r="E54" s="4"/>
      <c r="F54" s="4"/>
      <c r="G54" s="4"/>
    </row>
    <row r="55" spans="2:7" s="3" customFormat="1" x14ac:dyDescent="0.2">
      <c r="B55" s="4"/>
      <c r="C55" s="4"/>
      <c r="D55" s="4"/>
      <c r="E55" s="4"/>
      <c r="F55" s="4"/>
      <c r="G55" s="4"/>
    </row>
    <row r="56" spans="2:7" s="3" customFormat="1" x14ac:dyDescent="0.2">
      <c r="B56" s="4"/>
      <c r="C56" s="4"/>
      <c r="D56" s="4"/>
      <c r="E56" s="4"/>
      <c r="F56" s="4"/>
      <c r="G56" s="4"/>
    </row>
    <row r="57" spans="2:7" s="3" customFormat="1" x14ac:dyDescent="0.2">
      <c r="B57" s="4"/>
      <c r="C57" s="4"/>
      <c r="D57" s="4"/>
      <c r="E57" s="4"/>
      <c r="F57" s="4"/>
      <c r="G57" s="4"/>
    </row>
    <row r="58" spans="2:7" s="3" customFormat="1" x14ac:dyDescent="0.2">
      <c r="B58" s="4"/>
      <c r="C58" s="4"/>
      <c r="D58" s="4"/>
      <c r="E58" s="4"/>
      <c r="F58" s="4"/>
      <c r="G58" s="4"/>
    </row>
    <row r="59" spans="2:7" s="3" customFormat="1" x14ac:dyDescent="0.2">
      <c r="B59" s="4"/>
      <c r="C59" s="4"/>
      <c r="D59" s="4"/>
      <c r="E59" s="4"/>
      <c r="F59" s="4"/>
      <c r="G59" s="4"/>
    </row>
    <row r="60" spans="2:7" s="3" customFormat="1" x14ac:dyDescent="0.2">
      <c r="B60" s="4"/>
      <c r="C60" s="4"/>
      <c r="D60" s="4"/>
      <c r="E60" s="4"/>
      <c r="F60" s="4"/>
      <c r="G60" s="4"/>
    </row>
    <row r="61" spans="2:7" s="3" customFormat="1" ht="15.75" customHeight="1" x14ac:dyDescent="0.2">
      <c r="B61" s="4"/>
      <c r="C61" s="4"/>
      <c r="D61" s="4"/>
      <c r="E61" s="4"/>
      <c r="F61" s="4"/>
      <c r="G61" s="4"/>
    </row>
    <row r="62" spans="2:7" s="3" customFormat="1" x14ac:dyDescent="0.2">
      <c r="B62" s="4"/>
      <c r="C62" s="4"/>
      <c r="D62" s="4"/>
      <c r="E62" s="4"/>
      <c r="F62" s="4"/>
      <c r="G62" s="4"/>
    </row>
    <row r="63" spans="2:7" s="3" customFormat="1" x14ac:dyDescent="0.2">
      <c r="B63" s="4"/>
      <c r="C63" s="4"/>
      <c r="D63" s="4"/>
      <c r="E63" s="4"/>
      <c r="F63" s="4"/>
      <c r="G63" s="4"/>
    </row>
    <row r="64" spans="2:7" s="3" customFormat="1" x14ac:dyDescent="0.2">
      <c r="B64" s="4"/>
      <c r="C64" s="4"/>
      <c r="D64" s="4"/>
      <c r="E64" s="4"/>
      <c r="F64" s="4"/>
      <c r="G64" s="4"/>
    </row>
    <row r="65" spans="2:7" s="3" customFormat="1" x14ac:dyDescent="0.2">
      <c r="B65" s="4"/>
      <c r="C65" s="4"/>
      <c r="D65" s="4"/>
      <c r="E65" s="4"/>
      <c r="F65" s="4"/>
      <c r="G65" s="4"/>
    </row>
    <row r="66" spans="2:7" s="3" customFormat="1" x14ac:dyDescent="0.2">
      <c r="B66" s="4"/>
      <c r="C66" s="4"/>
      <c r="D66" s="4"/>
      <c r="E66" s="4"/>
      <c r="F66" s="4"/>
      <c r="G66" s="4"/>
    </row>
    <row r="67" spans="2:7" s="3" customFormat="1" x14ac:dyDescent="0.2">
      <c r="B67" s="4"/>
      <c r="C67" s="4"/>
      <c r="D67" s="4"/>
      <c r="E67" s="4"/>
      <c r="F67" s="4"/>
      <c r="G67" s="4"/>
    </row>
    <row r="68" spans="2:7" s="3" customFormat="1" x14ac:dyDescent="0.2">
      <c r="B68" s="4"/>
      <c r="C68" s="4"/>
      <c r="D68" s="4"/>
      <c r="E68" s="4"/>
      <c r="F68" s="4"/>
      <c r="G68" s="4"/>
    </row>
    <row r="69" spans="2:7" s="3" customFormat="1" x14ac:dyDescent="0.2">
      <c r="B69" s="4"/>
      <c r="C69" s="4"/>
      <c r="D69" s="4"/>
      <c r="E69" s="4"/>
      <c r="F69" s="4"/>
      <c r="G69" s="4"/>
    </row>
    <row r="70" spans="2:7" s="3" customFormat="1" x14ac:dyDescent="0.2">
      <c r="B70" s="4"/>
      <c r="C70" s="4"/>
      <c r="D70" s="4"/>
      <c r="E70" s="4"/>
      <c r="F70" s="4"/>
      <c r="G70" s="4"/>
    </row>
    <row r="71" spans="2:7" s="3" customFormat="1" x14ac:dyDescent="0.2"/>
    <row r="72" spans="2:7" s="3" customFormat="1" x14ac:dyDescent="0.2"/>
    <row r="73" spans="2:7" s="3" customFormat="1" x14ac:dyDescent="0.2"/>
    <row r="74" spans="2:7" x14ac:dyDescent="0.2">
      <c r="E74" s="1"/>
    </row>
    <row r="75" spans="2:7" s="3" customFormat="1" x14ac:dyDescent="0.2"/>
    <row r="76" spans="2:7" s="3" customFormat="1" x14ac:dyDescent="0.2"/>
    <row r="77" spans="2:7" s="3" customFormat="1" x14ac:dyDescent="0.2"/>
    <row r="78" spans="2:7" s="3" customFormat="1" x14ac:dyDescent="0.2"/>
    <row r="79" spans="2:7" s="3" customFormat="1" x14ac:dyDescent="0.2"/>
    <row r="80" spans="2:7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</sheetData>
  <sheetProtection formatCells="0"/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de Indicadores</vt:lpstr>
      <vt:lpstr>IND1</vt:lpstr>
      <vt:lpstr>IND2</vt:lpstr>
      <vt:lpstr>IND3</vt:lpstr>
      <vt:lpstr>IND4</vt:lpstr>
      <vt:lpstr>IND5</vt:lpstr>
      <vt:lpstr>IND6</vt:lpstr>
      <vt:lpstr>IND7</vt:lpstr>
      <vt:lpstr>IND8</vt:lpstr>
      <vt:lpstr>IND9</vt:lpstr>
      <vt:lpstr>IND10</vt:lpstr>
      <vt:lpstr>IND11</vt:lpstr>
      <vt:lpstr>IND12</vt:lpstr>
      <vt:lpstr>IND13</vt:lpstr>
      <vt:lpstr>IND14</vt:lpstr>
      <vt:lpstr>IND15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JoalKfre</cp:lastModifiedBy>
  <dcterms:created xsi:type="dcterms:W3CDTF">2021-11-24T23:07:32Z</dcterms:created>
  <dcterms:modified xsi:type="dcterms:W3CDTF">2022-05-30T04:35:31Z</dcterms:modified>
</cp:coreProperties>
</file>