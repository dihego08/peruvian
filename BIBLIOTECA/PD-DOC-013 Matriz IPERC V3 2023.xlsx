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334FB24-C6AB-4278-9BFA-D0D31B2A0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IPERC" sheetId="7" r:id="rId1"/>
    <sheet name="ADMINISTRATIV" sheetId="3" r:id="rId2"/>
    <sheet name="MANTENIMIENTO" sheetId="4" r:id="rId3"/>
    <sheet name="CORTE" sheetId="1" r:id="rId4"/>
    <sheet name="ENSAMBLE-DESPACHO" sheetId="2" r:id="rId5"/>
    <sheet name="METODO EVALUACION DE RIESGOS" sheetId="6" r:id="rId6"/>
  </sheets>
  <definedNames>
    <definedName name="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K3KO+dw5OUX9m+g5sibs/B5WaChx8eyN2UOcKXgotws="/>
    </ext>
  </extLst>
</workbook>
</file>

<file path=xl/calcChain.xml><?xml version="1.0" encoding="utf-8"?>
<calcChain xmlns="http://schemas.openxmlformats.org/spreadsheetml/2006/main">
  <c r="M29" i="3" l="1"/>
  <c r="M30" i="3"/>
  <c r="M31" i="3"/>
  <c r="M32" i="3"/>
  <c r="O32" i="3" s="1"/>
  <c r="P32" i="3" s="1"/>
  <c r="Q32" i="3" s="1"/>
  <c r="M33" i="3"/>
  <c r="M34" i="3"/>
  <c r="M35" i="3"/>
  <c r="O35" i="3" s="1"/>
  <c r="P35" i="3" s="1"/>
  <c r="Q35" i="3" s="1"/>
  <c r="X74" i="7"/>
  <c r="Z74" i="7" s="1"/>
  <c r="AA74" i="7" s="1"/>
  <c r="M74" i="7"/>
  <c r="O74" i="7" s="1"/>
  <c r="P74" i="7" s="1"/>
  <c r="Q74" i="7" s="1"/>
  <c r="X73" i="7"/>
  <c r="Z73" i="7" s="1"/>
  <c r="AA73" i="7" s="1"/>
  <c r="AB73" i="7" s="1"/>
  <c r="O73" i="7"/>
  <c r="P73" i="7" s="1"/>
  <c r="Q73" i="7" s="1"/>
  <c r="M73" i="7"/>
  <c r="X72" i="7"/>
  <c r="Z72" i="7" s="1"/>
  <c r="AA72" i="7" s="1"/>
  <c r="AB72" i="7" s="1"/>
  <c r="M72" i="7"/>
  <c r="O72" i="7" s="1"/>
  <c r="P72" i="7" s="1"/>
  <c r="Q72" i="7" s="1"/>
  <c r="X71" i="7"/>
  <c r="Z71" i="7" s="1"/>
  <c r="AA71" i="7" s="1"/>
  <c r="AB71" i="7" s="1"/>
  <c r="M71" i="7"/>
  <c r="O71" i="7" s="1"/>
  <c r="P71" i="7" s="1"/>
  <c r="Q71" i="7" s="1"/>
  <c r="X70" i="7"/>
  <c r="Z70" i="7" s="1"/>
  <c r="AA70" i="7" s="1"/>
  <c r="AB70" i="7" s="1"/>
  <c r="M70" i="7"/>
  <c r="O70" i="7" s="1"/>
  <c r="P70" i="7" s="1"/>
  <c r="Q70" i="7" s="1"/>
  <c r="X69" i="7"/>
  <c r="Z69" i="7" s="1"/>
  <c r="AA69" i="7" s="1"/>
  <c r="AB69" i="7" s="1"/>
  <c r="O69" i="7"/>
  <c r="P69" i="7" s="1"/>
  <c r="Q69" i="7" s="1"/>
  <c r="M69" i="7"/>
  <c r="X68" i="7"/>
  <c r="Z68" i="7" s="1"/>
  <c r="AA68" i="7" s="1"/>
  <c r="AB68" i="7" s="1"/>
  <c r="M68" i="7"/>
  <c r="O68" i="7" s="1"/>
  <c r="P68" i="7" s="1"/>
  <c r="Q68" i="7" s="1"/>
  <c r="X67" i="7"/>
  <c r="Z67" i="7" s="1"/>
  <c r="AA67" i="7" s="1"/>
  <c r="AB67" i="7" s="1"/>
  <c r="M67" i="7"/>
  <c r="O67" i="7" s="1"/>
  <c r="P67" i="7" s="1"/>
  <c r="Q67" i="7" s="1"/>
  <c r="X66" i="7"/>
  <c r="Z66" i="7" s="1"/>
  <c r="AA66" i="7" s="1"/>
  <c r="AB66" i="7" s="1"/>
  <c r="M66" i="7"/>
  <c r="O66" i="7" s="1"/>
  <c r="P66" i="7" s="1"/>
  <c r="Q66" i="7" s="1"/>
  <c r="X65" i="7"/>
  <c r="Z65" i="7" s="1"/>
  <c r="AA65" i="7" s="1"/>
  <c r="AB65" i="7" s="1"/>
  <c r="O65" i="7"/>
  <c r="P65" i="7" s="1"/>
  <c r="Q65" i="7" s="1"/>
  <c r="M65" i="7"/>
  <c r="X64" i="7"/>
  <c r="Z64" i="7" s="1"/>
  <c r="AA64" i="7" s="1"/>
  <c r="AB64" i="7" s="1"/>
  <c r="M64" i="7"/>
  <c r="O64" i="7" s="1"/>
  <c r="P64" i="7" s="1"/>
  <c r="Q64" i="7" s="1"/>
  <c r="X63" i="7"/>
  <c r="Z63" i="7" s="1"/>
  <c r="AA63" i="7" s="1"/>
  <c r="AB63" i="7" s="1"/>
  <c r="M63" i="7"/>
  <c r="O63" i="7" s="1"/>
  <c r="P63" i="7" s="1"/>
  <c r="Q63" i="7" s="1"/>
  <c r="X62" i="7"/>
  <c r="Z62" i="7" s="1"/>
  <c r="AA62" i="7" s="1"/>
  <c r="AB62" i="7" s="1"/>
  <c r="M62" i="7"/>
  <c r="O62" i="7" s="1"/>
  <c r="P62" i="7" s="1"/>
  <c r="Q62" i="7" s="1"/>
  <c r="X61" i="7"/>
  <c r="Z61" i="7" s="1"/>
  <c r="AA61" i="7" s="1"/>
  <c r="AB61" i="7" s="1"/>
  <c r="O61" i="7"/>
  <c r="P61" i="7" s="1"/>
  <c r="Q61" i="7" s="1"/>
  <c r="M61" i="7"/>
  <c r="X60" i="7"/>
  <c r="Z60" i="7" s="1"/>
  <c r="AA60" i="7" s="1"/>
  <c r="AB60" i="7" s="1"/>
  <c r="M60" i="7"/>
  <c r="O60" i="7" s="1"/>
  <c r="P60" i="7" s="1"/>
  <c r="Q60" i="7" s="1"/>
  <c r="X59" i="7"/>
  <c r="Z59" i="7" s="1"/>
  <c r="AA59" i="7" s="1"/>
  <c r="AB59" i="7" s="1"/>
  <c r="M59" i="7"/>
  <c r="O59" i="7" s="1"/>
  <c r="P59" i="7" s="1"/>
  <c r="Q59" i="7" s="1"/>
  <c r="X58" i="7"/>
  <c r="Z58" i="7" s="1"/>
  <c r="AA58" i="7" s="1"/>
  <c r="AB58" i="7" s="1"/>
  <c r="M58" i="7"/>
  <c r="O58" i="7" s="1"/>
  <c r="P58" i="7" s="1"/>
  <c r="Q58" i="7" s="1"/>
  <c r="X57" i="7"/>
  <c r="Z57" i="7" s="1"/>
  <c r="AA57" i="7" s="1"/>
  <c r="AB57" i="7" s="1"/>
  <c r="O57" i="7"/>
  <c r="P57" i="7" s="1"/>
  <c r="Q57" i="7" s="1"/>
  <c r="M57" i="7"/>
  <c r="X56" i="7"/>
  <c r="Z56" i="7" s="1"/>
  <c r="AA56" i="7" s="1"/>
  <c r="AB56" i="7" s="1"/>
  <c r="M56" i="7"/>
  <c r="O56" i="7" s="1"/>
  <c r="P56" i="7" s="1"/>
  <c r="Q56" i="7" s="1"/>
  <c r="X55" i="7"/>
  <c r="Z55" i="7" s="1"/>
  <c r="AA55" i="7" s="1"/>
  <c r="AB55" i="7" s="1"/>
  <c r="M55" i="7"/>
  <c r="O55" i="7" s="1"/>
  <c r="P55" i="7" s="1"/>
  <c r="Q55" i="7" s="1"/>
  <c r="X54" i="7"/>
  <c r="Z54" i="7" s="1"/>
  <c r="AA54" i="7" s="1"/>
  <c r="AB54" i="7" s="1"/>
  <c r="M54" i="7"/>
  <c r="O54" i="7" s="1"/>
  <c r="P54" i="7" s="1"/>
  <c r="Q54" i="7" s="1"/>
  <c r="X53" i="7"/>
  <c r="Z53" i="7" s="1"/>
  <c r="AA53" i="7" s="1"/>
  <c r="AB53" i="7" s="1"/>
  <c r="O53" i="7"/>
  <c r="P53" i="7" s="1"/>
  <c r="Q53" i="7" s="1"/>
  <c r="M53" i="7"/>
  <c r="X52" i="7"/>
  <c r="Z52" i="7" s="1"/>
  <c r="AA52" i="7" s="1"/>
  <c r="AB52" i="7" s="1"/>
  <c r="M52" i="7"/>
  <c r="O52" i="7" s="1"/>
  <c r="P52" i="7" s="1"/>
  <c r="Q52" i="7" s="1"/>
  <c r="X51" i="7"/>
  <c r="Z51" i="7" s="1"/>
  <c r="AA51" i="7" s="1"/>
  <c r="AB51" i="7" s="1"/>
  <c r="M51" i="7"/>
  <c r="O51" i="7" s="1"/>
  <c r="P51" i="7" s="1"/>
  <c r="Q51" i="7" s="1"/>
  <c r="X50" i="7"/>
  <c r="Z50" i="7" s="1"/>
  <c r="AA50" i="7" s="1"/>
  <c r="AB50" i="7" s="1"/>
  <c r="M50" i="7"/>
  <c r="O50" i="7" s="1"/>
  <c r="P50" i="7" s="1"/>
  <c r="Q50" i="7" s="1"/>
  <c r="X49" i="7"/>
  <c r="Z49" i="7" s="1"/>
  <c r="AA49" i="7" s="1"/>
  <c r="AB49" i="7" s="1"/>
  <c r="O49" i="7"/>
  <c r="P49" i="7" s="1"/>
  <c r="Q49" i="7" s="1"/>
  <c r="M49" i="7"/>
  <c r="X48" i="7"/>
  <c r="Z48" i="7" s="1"/>
  <c r="AA48" i="7" s="1"/>
  <c r="AB48" i="7" s="1"/>
  <c r="M48" i="7"/>
  <c r="O48" i="7" s="1"/>
  <c r="P48" i="7" s="1"/>
  <c r="Q48" i="7" s="1"/>
  <c r="X47" i="7"/>
  <c r="Z47" i="7" s="1"/>
  <c r="AA47" i="7" s="1"/>
  <c r="AB47" i="7" s="1"/>
  <c r="M47" i="7"/>
  <c r="O47" i="7" s="1"/>
  <c r="P47" i="7" s="1"/>
  <c r="Q47" i="7" s="1"/>
  <c r="X46" i="7"/>
  <c r="Z46" i="7" s="1"/>
  <c r="AA46" i="7" s="1"/>
  <c r="AB46" i="7" s="1"/>
  <c r="M46" i="7"/>
  <c r="O46" i="7" s="1"/>
  <c r="P46" i="7" s="1"/>
  <c r="Q46" i="7" s="1"/>
  <c r="Z45" i="7"/>
  <c r="AA45" i="7" s="1"/>
  <c r="AB45" i="7" s="1"/>
  <c r="X45" i="7"/>
  <c r="M45" i="7"/>
  <c r="O45" i="7" s="1"/>
  <c r="P45" i="7" s="1"/>
  <c r="Q45" i="7" s="1"/>
  <c r="Z44" i="7"/>
  <c r="AA44" i="7" s="1"/>
  <c r="AB44" i="7" s="1"/>
  <c r="X44" i="7"/>
  <c r="M44" i="7"/>
  <c r="O44" i="7" s="1"/>
  <c r="P44" i="7" s="1"/>
  <c r="Q44" i="7" s="1"/>
  <c r="X43" i="7"/>
  <c r="Z43" i="7" s="1"/>
  <c r="AA43" i="7" s="1"/>
  <c r="AB43" i="7" s="1"/>
  <c r="M43" i="7"/>
  <c r="O43" i="7" s="1"/>
  <c r="P43" i="7" s="1"/>
  <c r="Q43" i="7" s="1"/>
  <c r="Z42" i="7"/>
  <c r="AA42" i="7" s="1"/>
  <c r="AB42" i="7" s="1"/>
  <c r="X42" i="7"/>
  <c r="M42" i="7"/>
  <c r="O42" i="7" s="1"/>
  <c r="P42" i="7" s="1"/>
  <c r="Q42" i="7" s="1"/>
  <c r="Z41" i="7"/>
  <c r="AA41" i="7" s="1"/>
  <c r="AB41" i="7" s="1"/>
  <c r="X41" i="7"/>
  <c r="M41" i="7"/>
  <c r="O41" i="7" s="1"/>
  <c r="P41" i="7" s="1"/>
  <c r="Q41" i="7" s="1"/>
  <c r="X40" i="7"/>
  <c r="Z40" i="7" s="1"/>
  <c r="AA40" i="7" s="1"/>
  <c r="AB40" i="7" s="1"/>
  <c r="M40" i="7"/>
  <c r="O40" i="7" s="1"/>
  <c r="P40" i="7" s="1"/>
  <c r="Q40" i="7" s="1"/>
  <c r="Z39" i="7"/>
  <c r="AA39" i="7" s="1"/>
  <c r="AB39" i="7" s="1"/>
  <c r="X39" i="7"/>
  <c r="M39" i="7"/>
  <c r="O39" i="7" s="1"/>
  <c r="P39" i="7" s="1"/>
  <c r="Q39" i="7" s="1"/>
  <c r="X38" i="7"/>
  <c r="Z38" i="7" s="1"/>
  <c r="O38" i="7"/>
  <c r="M38" i="7"/>
  <c r="X37" i="7"/>
  <c r="Z37" i="7" s="1"/>
  <c r="AA37" i="7" s="1"/>
  <c r="AB37" i="7" s="1"/>
  <c r="M37" i="7"/>
  <c r="O37" i="7" s="1"/>
  <c r="P37" i="7" s="1"/>
  <c r="Q37" i="7" s="1"/>
  <c r="X36" i="7"/>
  <c r="Z36" i="7" s="1"/>
  <c r="AA36" i="7" s="1"/>
  <c r="AB36" i="7" s="1"/>
  <c r="O36" i="7"/>
  <c r="P36" i="7" s="1"/>
  <c r="Q36" i="7" s="1"/>
  <c r="M36" i="7"/>
  <c r="X35" i="7"/>
  <c r="Z35" i="7" s="1"/>
  <c r="AA35" i="7" s="1"/>
  <c r="AB35" i="7" s="1"/>
  <c r="M35" i="7"/>
  <c r="O35" i="7" s="1"/>
  <c r="P35" i="7" s="1"/>
  <c r="Q35" i="7" s="1"/>
  <c r="X34" i="7"/>
  <c r="Z34" i="7" s="1"/>
  <c r="AA34" i="7" s="1"/>
  <c r="AB34" i="7" s="1"/>
  <c r="M34" i="7"/>
  <c r="O34" i="7" s="1"/>
  <c r="P34" i="7" s="1"/>
  <c r="Q34" i="7" s="1"/>
  <c r="X33" i="7"/>
  <c r="Z33" i="7" s="1"/>
  <c r="AA33" i="7" s="1"/>
  <c r="AB33" i="7" s="1"/>
  <c r="M33" i="7"/>
  <c r="O33" i="7" s="1"/>
  <c r="P33" i="7" s="1"/>
  <c r="Q33" i="7" s="1"/>
  <c r="X32" i="7"/>
  <c r="Z32" i="7" s="1"/>
  <c r="AA32" i="7" s="1"/>
  <c r="AB32" i="7" s="1"/>
  <c r="M32" i="7"/>
  <c r="O32" i="7" s="1"/>
  <c r="P32" i="7" s="1"/>
  <c r="Q32" i="7" s="1"/>
  <c r="X31" i="7"/>
  <c r="Z31" i="7" s="1"/>
  <c r="AA31" i="7" s="1"/>
  <c r="AB31" i="7" s="1"/>
  <c r="M31" i="7"/>
  <c r="O31" i="7" s="1"/>
  <c r="P31" i="7" s="1"/>
  <c r="Q31" i="7" s="1"/>
  <c r="X30" i="7"/>
  <c r="Z30" i="7" s="1"/>
  <c r="AA30" i="7" s="1"/>
  <c r="AB30" i="7" s="1"/>
  <c r="M30" i="7"/>
  <c r="O30" i="7" s="1"/>
  <c r="P30" i="7" s="1"/>
  <c r="Q30" i="7" s="1"/>
  <c r="X29" i="7"/>
  <c r="Z29" i="7" s="1"/>
  <c r="AA29" i="7" s="1"/>
  <c r="AB29" i="7" s="1"/>
  <c r="M29" i="7"/>
  <c r="O29" i="7" s="1"/>
  <c r="P29" i="7" s="1"/>
  <c r="Q29" i="7" s="1"/>
  <c r="X28" i="7"/>
  <c r="Z28" i="7" s="1"/>
  <c r="AA28" i="7" s="1"/>
  <c r="AB28" i="7" s="1"/>
  <c r="M28" i="7"/>
  <c r="O28" i="7" s="1"/>
  <c r="P28" i="7" s="1"/>
  <c r="Q28" i="7" s="1"/>
  <c r="X27" i="7"/>
  <c r="Z27" i="7" s="1"/>
  <c r="AA27" i="7" s="1"/>
  <c r="AB27" i="7" s="1"/>
  <c r="M27" i="7"/>
  <c r="O27" i="7" s="1"/>
  <c r="P27" i="7" s="1"/>
  <c r="Q27" i="7" s="1"/>
  <c r="X26" i="7"/>
  <c r="Z26" i="7" s="1"/>
  <c r="AA26" i="7" s="1"/>
  <c r="AB26" i="7" s="1"/>
  <c r="M26" i="7"/>
  <c r="O26" i="7" s="1"/>
  <c r="P26" i="7" s="1"/>
  <c r="Q26" i="7" s="1"/>
  <c r="X25" i="7"/>
  <c r="Z25" i="7" s="1"/>
  <c r="AA25" i="7" s="1"/>
  <c r="AB25" i="7" s="1"/>
  <c r="M25" i="7"/>
  <c r="O25" i="7" s="1"/>
  <c r="P25" i="7" s="1"/>
  <c r="Q25" i="7" s="1"/>
  <c r="X24" i="7"/>
  <c r="Z24" i="7" s="1"/>
  <c r="AA24" i="7" s="1"/>
  <c r="AB24" i="7" s="1"/>
  <c r="M24" i="7"/>
  <c r="O24" i="7" s="1"/>
  <c r="P24" i="7" s="1"/>
  <c r="Q24" i="7" s="1"/>
  <c r="X23" i="7"/>
  <c r="Z23" i="7" s="1"/>
  <c r="AA23" i="7" s="1"/>
  <c r="AB23" i="7" s="1"/>
  <c r="M23" i="7"/>
  <c r="O23" i="7" s="1"/>
  <c r="P23" i="7" s="1"/>
  <c r="Q23" i="7" s="1"/>
  <c r="X22" i="7"/>
  <c r="Z22" i="7" s="1"/>
  <c r="AA22" i="7" s="1"/>
  <c r="AB22" i="7" s="1"/>
  <c r="M22" i="7"/>
  <c r="O22" i="7" s="1"/>
  <c r="P22" i="7" s="1"/>
  <c r="Q22" i="7" s="1"/>
  <c r="X21" i="7"/>
  <c r="Z21" i="7" s="1"/>
  <c r="M21" i="7"/>
  <c r="O21" i="7" s="1"/>
  <c r="P21" i="7" s="1"/>
  <c r="Q21" i="7" s="1"/>
  <c r="X20" i="7"/>
  <c r="Z20" i="7" s="1"/>
  <c r="AA20" i="7" s="1"/>
  <c r="AB20" i="7" s="1"/>
  <c r="M20" i="7"/>
  <c r="O20" i="7" s="1"/>
  <c r="P20" i="7" s="1"/>
  <c r="Q20" i="7" s="1"/>
  <c r="X19" i="7"/>
  <c r="Z19" i="7" s="1"/>
  <c r="AA19" i="7" s="1"/>
  <c r="AB19" i="7" s="1"/>
  <c r="M19" i="7"/>
  <c r="O19" i="7" s="1"/>
  <c r="P19" i="7" s="1"/>
  <c r="Q19" i="7" s="1"/>
  <c r="X18" i="7"/>
  <c r="Z18" i="7" s="1"/>
  <c r="AA18" i="7" s="1"/>
  <c r="AB18" i="7" s="1"/>
  <c r="M18" i="7"/>
  <c r="O18" i="7" s="1"/>
  <c r="P18" i="7" s="1"/>
  <c r="Q18" i="7" s="1"/>
  <c r="X17" i="7"/>
  <c r="Z17" i="7" s="1"/>
  <c r="AA17" i="7" s="1"/>
  <c r="AB17" i="7" s="1"/>
  <c r="M17" i="7"/>
  <c r="O17" i="7" s="1"/>
  <c r="P17" i="7" s="1"/>
  <c r="Q17" i="7" s="1"/>
  <c r="X16" i="7"/>
  <c r="Z16" i="7" s="1"/>
  <c r="AA16" i="7" s="1"/>
  <c r="AB16" i="7" s="1"/>
  <c r="M16" i="7"/>
  <c r="O16" i="7" s="1"/>
  <c r="P16" i="7" s="1"/>
  <c r="Q16" i="7" s="1"/>
  <c r="X15" i="7"/>
  <c r="Z15" i="7" s="1"/>
  <c r="AA15" i="7" s="1"/>
  <c r="AB15" i="7" s="1"/>
  <c r="M15" i="7"/>
  <c r="O15" i="7" s="1"/>
  <c r="P15" i="7" s="1"/>
  <c r="Q15" i="7" s="1"/>
  <c r="X14" i="7"/>
  <c r="Z14" i="7" s="1"/>
  <c r="AA14" i="7" s="1"/>
  <c r="AB14" i="7" s="1"/>
  <c r="M14" i="7"/>
  <c r="O14" i="7" s="1"/>
  <c r="P14" i="7" s="1"/>
  <c r="Q14" i="7" s="1"/>
  <c r="X12" i="7"/>
  <c r="Z12" i="7" s="1"/>
  <c r="AA12" i="7" s="1"/>
  <c r="AB12" i="7" s="1"/>
  <c r="M12" i="7"/>
  <c r="O12" i="7" s="1"/>
  <c r="P12" i="7" s="1"/>
  <c r="Q12" i="7" s="1"/>
  <c r="X21" i="4"/>
  <c r="Z21" i="4" s="1"/>
  <c r="AA21" i="4" s="1"/>
  <c r="AB21" i="4" s="1"/>
  <c r="M21" i="4"/>
  <c r="O21" i="4" s="1"/>
  <c r="P21" i="4" s="1"/>
  <c r="Q21" i="4" s="1"/>
  <c r="X20" i="4"/>
  <c r="Z20" i="4" s="1"/>
  <c r="AA20" i="4" s="1"/>
  <c r="AB20" i="4" s="1"/>
  <c r="M20" i="4"/>
  <c r="O20" i="4" s="1"/>
  <c r="P20" i="4" s="1"/>
  <c r="Q20" i="4" s="1"/>
  <c r="X19" i="4"/>
  <c r="Z19" i="4" s="1"/>
  <c r="AA19" i="4" s="1"/>
  <c r="AB19" i="4" s="1"/>
  <c r="M19" i="4"/>
  <c r="O19" i="4" s="1"/>
  <c r="P19" i="4" s="1"/>
  <c r="Q19" i="4" s="1"/>
  <c r="X18" i="4"/>
  <c r="Z18" i="4" s="1"/>
  <c r="AA18" i="4" s="1"/>
  <c r="AB18" i="4" s="1"/>
  <c r="M18" i="4"/>
  <c r="O18" i="4" s="1"/>
  <c r="P18" i="4" s="1"/>
  <c r="Q18" i="4" s="1"/>
  <c r="X17" i="4"/>
  <c r="Z17" i="4" s="1"/>
  <c r="AA17" i="4" s="1"/>
  <c r="AB17" i="4" s="1"/>
  <c r="M17" i="4"/>
  <c r="O17" i="4" s="1"/>
  <c r="P17" i="4" s="1"/>
  <c r="Q17" i="4" s="1"/>
  <c r="X16" i="4"/>
  <c r="Z16" i="4" s="1"/>
  <c r="AA16" i="4" s="1"/>
  <c r="AB16" i="4" s="1"/>
  <c r="M16" i="4"/>
  <c r="O16" i="4" s="1"/>
  <c r="P16" i="4" s="1"/>
  <c r="Q16" i="4" s="1"/>
  <c r="AA15" i="4"/>
  <c r="AB15" i="4" s="1"/>
  <c r="X15" i="4"/>
  <c r="Z15" i="4" s="1"/>
  <c r="M15" i="4"/>
  <c r="O15" i="4" s="1"/>
  <c r="P15" i="4" s="1"/>
  <c r="Q15" i="4" s="1"/>
  <c r="X14" i="4"/>
  <c r="Z14" i="4" s="1"/>
  <c r="M14" i="4"/>
  <c r="O14" i="4" s="1"/>
  <c r="X13" i="4"/>
  <c r="Z13" i="4" s="1"/>
  <c r="AA13" i="4" s="1"/>
  <c r="AB13" i="4" s="1"/>
  <c r="M13" i="4"/>
  <c r="O13" i="4" s="1"/>
  <c r="P13" i="4" s="1"/>
  <c r="Q13" i="4" s="1"/>
  <c r="X12" i="4"/>
  <c r="Z12" i="4" s="1"/>
  <c r="AA12" i="4" s="1"/>
  <c r="AB12" i="4" s="1"/>
  <c r="M12" i="4"/>
  <c r="O12" i="4" s="1"/>
  <c r="P12" i="4" s="1"/>
  <c r="Q12" i="4" s="1"/>
  <c r="X35" i="3"/>
  <c r="Z35" i="3" s="1"/>
  <c r="AA35" i="3" s="1"/>
  <c r="AB35" i="3" s="1"/>
  <c r="X34" i="3"/>
  <c r="Z34" i="3" s="1"/>
  <c r="AA34" i="3" s="1"/>
  <c r="AB34" i="3" s="1"/>
  <c r="O34" i="3"/>
  <c r="P34" i="3" s="1"/>
  <c r="Q34" i="3" s="1"/>
  <c r="X33" i="3"/>
  <c r="Z33" i="3" s="1"/>
  <c r="AA33" i="3" s="1"/>
  <c r="AB33" i="3" s="1"/>
  <c r="O33" i="3"/>
  <c r="P33" i="3" s="1"/>
  <c r="Q33" i="3" s="1"/>
  <c r="X32" i="3"/>
  <c r="Z32" i="3" s="1"/>
  <c r="AA32" i="3" s="1"/>
  <c r="AB32" i="3" s="1"/>
  <c r="X31" i="3"/>
  <c r="Z31" i="3" s="1"/>
  <c r="AA31" i="3" s="1"/>
  <c r="AB31" i="3" s="1"/>
  <c r="O31" i="3"/>
  <c r="P31" i="3" s="1"/>
  <c r="Q31" i="3" s="1"/>
  <c r="Z30" i="3"/>
  <c r="AA30" i="3" s="1"/>
  <c r="AB30" i="3" s="1"/>
  <c r="X30" i="3"/>
  <c r="O30" i="3"/>
  <c r="P30" i="3" s="1"/>
  <c r="Q30" i="3" s="1"/>
  <c r="X29" i="3"/>
  <c r="Z29" i="3" s="1"/>
  <c r="AA29" i="3" s="1"/>
  <c r="AB29" i="3" s="1"/>
  <c r="O29" i="3"/>
  <c r="P29" i="3" s="1"/>
  <c r="Q29" i="3" s="1"/>
  <c r="X28" i="3"/>
  <c r="Z28" i="3" s="1"/>
  <c r="AA28" i="3" s="1"/>
  <c r="AB28" i="3" s="1"/>
  <c r="M28" i="3"/>
  <c r="O28" i="3" s="1"/>
  <c r="P28" i="3" s="1"/>
  <c r="Q28" i="3" s="1"/>
  <c r="Z27" i="3"/>
  <c r="AA27" i="3" s="1"/>
  <c r="AB27" i="3" s="1"/>
  <c r="X27" i="3"/>
  <c r="M27" i="3"/>
  <c r="O27" i="3" s="1"/>
  <c r="P27" i="3" s="1"/>
  <c r="Q27" i="3" s="1"/>
  <c r="X26" i="3"/>
  <c r="Z26" i="3" s="1"/>
  <c r="AA26" i="3" s="1"/>
  <c r="AB26" i="3" s="1"/>
  <c r="M26" i="3"/>
  <c r="O26" i="3" s="1"/>
  <c r="P26" i="3" s="1"/>
  <c r="Q26" i="3" s="1"/>
  <c r="X25" i="3"/>
  <c r="Z25" i="3" s="1"/>
  <c r="AA25" i="3" s="1"/>
  <c r="AB25" i="3" s="1"/>
  <c r="M25" i="3"/>
  <c r="O25" i="3" s="1"/>
  <c r="P25" i="3" s="1"/>
  <c r="Q25" i="3" s="1"/>
  <c r="X24" i="3"/>
  <c r="Z24" i="3" s="1"/>
  <c r="AA24" i="3" s="1"/>
  <c r="AB24" i="3" s="1"/>
  <c r="M24" i="3"/>
  <c r="O24" i="3" s="1"/>
  <c r="P24" i="3" s="1"/>
  <c r="Q24" i="3" s="1"/>
  <c r="X23" i="3"/>
  <c r="Z23" i="3" s="1"/>
  <c r="AA23" i="3" s="1"/>
  <c r="AB23" i="3" s="1"/>
  <c r="M23" i="3"/>
  <c r="O23" i="3" s="1"/>
  <c r="P23" i="3" s="1"/>
  <c r="Q23" i="3" s="1"/>
  <c r="X22" i="3"/>
  <c r="Z22" i="3" s="1"/>
  <c r="AA22" i="3" s="1"/>
  <c r="AB22" i="3" s="1"/>
  <c r="M22" i="3"/>
  <c r="O22" i="3" s="1"/>
  <c r="P22" i="3" s="1"/>
  <c r="Q22" i="3" s="1"/>
  <c r="X21" i="3"/>
  <c r="Z21" i="3" s="1"/>
  <c r="M21" i="3"/>
  <c r="O21" i="3" s="1"/>
  <c r="P21" i="3" s="1"/>
  <c r="Q21" i="3" s="1"/>
  <c r="X20" i="3"/>
  <c r="Z20" i="3" s="1"/>
  <c r="AA20" i="3" s="1"/>
  <c r="AB20" i="3" s="1"/>
  <c r="M20" i="3"/>
  <c r="O20" i="3" s="1"/>
  <c r="P20" i="3" s="1"/>
  <c r="Q20" i="3" s="1"/>
  <c r="AA19" i="3"/>
  <c r="AB19" i="3" s="1"/>
  <c r="X19" i="3"/>
  <c r="Z19" i="3" s="1"/>
  <c r="M19" i="3"/>
  <c r="O19" i="3" s="1"/>
  <c r="P19" i="3" s="1"/>
  <c r="Q19" i="3" s="1"/>
  <c r="X18" i="3"/>
  <c r="Z18" i="3" s="1"/>
  <c r="AA18" i="3" s="1"/>
  <c r="AB18" i="3" s="1"/>
  <c r="M18" i="3"/>
  <c r="O18" i="3" s="1"/>
  <c r="P18" i="3" s="1"/>
  <c r="Q18" i="3" s="1"/>
  <c r="X17" i="3"/>
  <c r="Z17" i="3" s="1"/>
  <c r="AA17" i="3" s="1"/>
  <c r="AB17" i="3" s="1"/>
  <c r="O17" i="3"/>
  <c r="P17" i="3" s="1"/>
  <c r="Q17" i="3" s="1"/>
  <c r="M17" i="3"/>
  <c r="X16" i="3"/>
  <c r="Z16" i="3" s="1"/>
  <c r="AA16" i="3" s="1"/>
  <c r="AB16" i="3" s="1"/>
  <c r="M16" i="3"/>
  <c r="O16" i="3" s="1"/>
  <c r="P16" i="3" s="1"/>
  <c r="Q16" i="3" s="1"/>
  <c r="X15" i="3"/>
  <c r="Z15" i="3" s="1"/>
  <c r="AA15" i="3" s="1"/>
  <c r="AB15" i="3" s="1"/>
  <c r="M15" i="3"/>
  <c r="O15" i="3" s="1"/>
  <c r="P15" i="3" s="1"/>
  <c r="Q15" i="3" s="1"/>
  <c r="X14" i="3"/>
  <c r="Z14" i="3" s="1"/>
  <c r="AA14" i="3" s="1"/>
  <c r="AB14" i="3" s="1"/>
  <c r="M14" i="3"/>
  <c r="O14" i="3" s="1"/>
  <c r="P14" i="3" s="1"/>
  <c r="Q14" i="3" s="1"/>
  <c r="X12" i="3"/>
  <c r="Z12" i="3" s="1"/>
  <c r="AA12" i="3" s="1"/>
  <c r="AB12" i="3" s="1"/>
  <c r="M12" i="3"/>
  <c r="O12" i="3" s="1"/>
  <c r="P12" i="3" s="1"/>
  <c r="Q12" i="3" s="1"/>
  <c r="Z31" i="2"/>
  <c r="AA31" i="2" s="1"/>
  <c r="X31" i="2"/>
  <c r="M31" i="2"/>
  <c r="O31" i="2" s="1"/>
  <c r="P31" i="2" s="1"/>
  <c r="Q31" i="2" s="1"/>
  <c r="X30" i="2"/>
  <c r="Z30" i="2" s="1"/>
  <c r="AA30" i="2" s="1"/>
  <c r="AB30" i="2" s="1"/>
  <c r="M30" i="2"/>
  <c r="O30" i="2" s="1"/>
  <c r="P30" i="2" s="1"/>
  <c r="Q30" i="2" s="1"/>
  <c r="X29" i="2"/>
  <c r="Z29" i="2" s="1"/>
  <c r="AA29" i="2" s="1"/>
  <c r="AB29" i="2" s="1"/>
  <c r="M29" i="2"/>
  <c r="O29" i="2" s="1"/>
  <c r="P29" i="2" s="1"/>
  <c r="Q29" i="2" s="1"/>
  <c r="X28" i="2"/>
  <c r="Z28" i="2" s="1"/>
  <c r="AA28" i="2" s="1"/>
  <c r="AB28" i="2" s="1"/>
  <c r="M28" i="2"/>
  <c r="O28" i="2" s="1"/>
  <c r="P28" i="2" s="1"/>
  <c r="Q28" i="2" s="1"/>
  <c r="Z27" i="2"/>
  <c r="AA27" i="2" s="1"/>
  <c r="AB27" i="2" s="1"/>
  <c r="X27" i="2"/>
  <c r="M27" i="2"/>
  <c r="O27" i="2" s="1"/>
  <c r="P27" i="2" s="1"/>
  <c r="Q27" i="2" s="1"/>
  <c r="X26" i="2"/>
  <c r="Z26" i="2" s="1"/>
  <c r="AA26" i="2" s="1"/>
  <c r="AB26" i="2" s="1"/>
  <c r="M26" i="2"/>
  <c r="O26" i="2" s="1"/>
  <c r="P26" i="2" s="1"/>
  <c r="Q26" i="2" s="1"/>
  <c r="X25" i="2"/>
  <c r="Z25" i="2" s="1"/>
  <c r="AA25" i="2" s="1"/>
  <c r="AB25" i="2" s="1"/>
  <c r="M25" i="2"/>
  <c r="O25" i="2" s="1"/>
  <c r="P25" i="2" s="1"/>
  <c r="Q25" i="2" s="1"/>
  <c r="X24" i="2"/>
  <c r="Z24" i="2" s="1"/>
  <c r="AA24" i="2" s="1"/>
  <c r="AB24" i="2" s="1"/>
  <c r="M24" i="2"/>
  <c r="O24" i="2" s="1"/>
  <c r="P24" i="2" s="1"/>
  <c r="Q24" i="2" s="1"/>
  <c r="Z23" i="2"/>
  <c r="AA23" i="2" s="1"/>
  <c r="AB23" i="2" s="1"/>
  <c r="X23" i="2"/>
  <c r="M23" i="2"/>
  <c r="O23" i="2" s="1"/>
  <c r="P23" i="2" s="1"/>
  <c r="Q23" i="2" s="1"/>
  <c r="X22" i="2"/>
  <c r="Z22" i="2" s="1"/>
  <c r="AA22" i="2" s="1"/>
  <c r="AB22" i="2" s="1"/>
  <c r="M22" i="2"/>
  <c r="O22" i="2" s="1"/>
  <c r="P22" i="2" s="1"/>
  <c r="Q22" i="2" s="1"/>
  <c r="X21" i="2"/>
  <c r="Z21" i="2" s="1"/>
  <c r="AA21" i="2" s="1"/>
  <c r="AB21" i="2" s="1"/>
  <c r="M21" i="2"/>
  <c r="O21" i="2" s="1"/>
  <c r="P21" i="2" s="1"/>
  <c r="Q21" i="2" s="1"/>
  <c r="X20" i="2"/>
  <c r="Z20" i="2" s="1"/>
  <c r="AA20" i="2" s="1"/>
  <c r="AB20" i="2" s="1"/>
  <c r="M20" i="2"/>
  <c r="O20" i="2" s="1"/>
  <c r="P20" i="2" s="1"/>
  <c r="Q20" i="2" s="1"/>
  <c r="Z19" i="2"/>
  <c r="AA19" i="2" s="1"/>
  <c r="AB19" i="2" s="1"/>
  <c r="X19" i="2"/>
  <c r="M19" i="2"/>
  <c r="O19" i="2" s="1"/>
  <c r="P19" i="2" s="1"/>
  <c r="Q19" i="2" s="1"/>
  <c r="X18" i="2"/>
  <c r="Z18" i="2" s="1"/>
  <c r="AA18" i="2" s="1"/>
  <c r="AB18" i="2" s="1"/>
  <c r="M18" i="2"/>
  <c r="O18" i="2" s="1"/>
  <c r="P18" i="2" s="1"/>
  <c r="Q18" i="2" s="1"/>
  <c r="X17" i="2"/>
  <c r="Z17" i="2" s="1"/>
  <c r="AA17" i="2" s="1"/>
  <c r="AB17" i="2" s="1"/>
  <c r="M17" i="2"/>
  <c r="O17" i="2" s="1"/>
  <c r="P17" i="2" s="1"/>
  <c r="Q17" i="2" s="1"/>
  <c r="X16" i="2"/>
  <c r="Z16" i="2" s="1"/>
  <c r="AA16" i="2" s="1"/>
  <c r="AB16" i="2" s="1"/>
  <c r="M16" i="2"/>
  <c r="O16" i="2" s="1"/>
  <c r="P16" i="2" s="1"/>
  <c r="Q16" i="2" s="1"/>
  <c r="Z15" i="2"/>
  <c r="AA15" i="2" s="1"/>
  <c r="AB15" i="2" s="1"/>
  <c r="X15" i="2"/>
  <c r="M15" i="2"/>
  <c r="O15" i="2" s="1"/>
  <c r="P15" i="2" s="1"/>
  <c r="Q15" i="2" s="1"/>
  <c r="X14" i="2"/>
  <c r="Z14" i="2" s="1"/>
  <c r="AA14" i="2" s="1"/>
  <c r="AB14" i="2" s="1"/>
  <c r="M14" i="2"/>
  <c r="O14" i="2" s="1"/>
  <c r="P14" i="2" s="1"/>
  <c r="Q14" i="2" s="1"/>
  <c r="X13" i="2"/>
  <c r="Z13" i="2" s="1"/>
  <c r="AA13" i="2" s="1"/>
  <c r="AB13" i="2" s="1"/>
  <c r="M13" i="2"/>
  <c r="O13" i="2" s="1"/>
  <c r="P13" i="2" s="1"/>
  <c r="Q13" i="2" s="1"/>
  <c r="X12" i="2"/>
  <c r="Z12" i="2" s="1"/>
  <c r="AA12" i="2" s="1"/>
  <c r="AB12" i="2" s="1"/>
  <c r="M12" i="2"/>
  <c r="O12" i="2" s="1"/>
  <c r="P12" i="2" s="1"/>
  <c r="Q12" i="2" s="1"/>
  <c r="Z20" i="1"/>
  <c r="AA20" i="1" s="1"/>
  <c r="AB20" i="1" s="1"/>
  <c r="X20" i="1"/>
  <c r="M20" i="1"/>
  <c r="O20" i="1" s="1"/>
  <c r="P20" i="1" s="1"/>
  <c r="Q20" i="1" s="1"/>
  <c r="X19" i="1"/>
  <c r="Z19" i="1" s="1"/>
  <c r="AA19" i="1" s="1"/>
  <c r="AB19" i="1" s="1"/>
  <c r="M19" i="1"/>
  <c r="O19" i="1" s="1"/>
  <c r="P19" i="1" s="1"/>
  <c r="Q19" i="1" s="1"/>
  <c r="X18" i="1"/>
  <c r="Z18" i="1" s="1"/>
  <c r="AA18" i="1" s="1"/>
  <c r="AB18" i="1" s="1"/>
  <c r="M18" i="1"/>
  <c r="O18" i="1" s="1"/>
  <c r="P18" i="1" s="1"/>
  <c r="Q18" i="1" s="1"/>
  <c r="X17" i="1"/>
  <c r="Z17" i="1" s="1"/>
  <c r="AA17" i="1" s="1"/>
  <c r="AB17" i="1" s="1"/>
  <c r="M17" i="1"/>
  <c r="O17" i="1" s="1"/>
  <c r="P17" i="1" s="1"/>
  <c r="Q17" i="1" s="1"/>
  <c r="Z16" i="1"/>
  <c r="AA16" i="1" s="1"/>
  <c r="AB16" i="1" s="1"/>
  <c r="X16" i="1"/>
  <c r="M16" i="1"/>
  <c r="O16" i="1" s="1"/>
  <c r="P16" i="1" s="1"/>
  <c r="Q16" i="1" s="1"/>
  <c r="X15" i="1"/>
  <c r="Z15" i="1" s="1"/>
  <c r="AA15" i="1" s="1"/>
  <c r="AB15" i="1" s="1"/>
  <c r="M15" i="1"/>
  <c r="O15" i="1" s="1"/>
  <c r="P15" i="1" s="1"/>
  <c r="Q15" i="1" s="1"/>
  <c r="X14" i="1"/>
  <c r="Z14" i="1" s="1"/>
  <c r="AA14" i="1" s="1"/>
  <c r="AB14" i="1" s="1"/>
  <c r="M14" i="1"/>
  <c r="O14" i="1" s="1"/>
  <c r="P14" i="1" s="1"/>
  <c r="Q14" i="1" s="1"/>
  <c r="X13" i="1"/>
  <c r="Z13" i="1" s="1"/>
  <c r="AA13" i="1" s="1"/>
  <c r="AB13" i="1" s="1"/>
  <c r="M13" i="1"/>
  <c r="O13" i="1" s="1"/>
  <c r="P13" i="1" s="1"/>
  <c r="Q13" i="1" s="1"/>
  <c r="Z12" i="1"/>
  <c r="AA12" i="1" s="1"/>
  <c r="AB12" i="1" s="1"/>
  <c r="X12" i="1"/>
  <c r="M12" i="1"/>
  <c r="O12" i="1" s="1"/>
  <c r="P12" i="1" s="1"/>
  <c r="Q12" i="1" s="1"/>
</calcChain>
</file>

<file path=xl/sharedStrings.xml><?xml version="1.0" encoding="utf-8"?>
<sst xmlns="http://schemas.openxmlformats.org/spreadsheetml/2006/main" count="1038" uniqueCount="246">
  <si>
    <t>N°</t>
  </si>
  <si>
    <t>PROCESO</t>
  </si>
  <si>
    <t>PUESTO DE TRABAJO</t>
  </si>
  <si>
    <t>TAREAS</t>
  </si>
  <si>
    <t>TIPO DE TAREA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</si>
  <si>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</si>
  <si>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>RIESGO</t>
  </si>
  <si>
    <t>EVALUACION DE RIESGOS</t>
  </si>
  <si>
    <t>EVALUACION DE RIESGO RESIDUAL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</si>
  <si>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</si>
  <si>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</si>
  <si>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</si>
  <si>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</si>
  <si>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</si>
  <si>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</si>
  <si>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 o existentes</t>
  </si>
  <si>
    <t>RESPONSABLE (S)</t>
  </si>
  <si>
    <t>OBSERVACIONES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</si>
  <si>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</si>
  <si>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</si>
  <si>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</si>
  <si>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</si>
  <si>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</si>
  <si>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</si>
  <si>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CONFECCIÓN</t>
  </si>
  <si>
    <t>ENCARGADO DE CORTE</t>
  </si>
  <si>
    <t>1, CORTAR</t>
  </si>
  <si>
    <t>X</t>
  </si>
  <si>
    <t>Orden y Limpieza</t>
  </si>
  <si>
    <t>Caida, impacto a personas o equipos, lesiones, cortes</t>
  </si>
  <si>
    <t>Capacitación 5'S, Rutinas de orden y limpieza, inspecciones mensuales</t>
  </si>
  <si>
    <t>Coordinador SIG/ Supervisor SST/ Gestión de talento humano/Supervisor de confección
 Supervisor de confecciones</t>
  </si>
  <si>
    <t>NA</t>
  </si>
  <si>
    <t>Exceso de ruido</t>
  </si>
  <si>
    <t>Alteraciones auditivas,dificultad para concentrarse</t>
  </si>
  <si>
    <t>Control Administrativo / EPP/ señalizacion, uso obligatorio de audifonos de seguridad/ monitoreo ocupacional de ruido, programa de mantenimiento.</t>
  </si>
  <si>
    <t>Coordinador SIG/ Supervisor SST/ 
 Supervisor de confecciones</t>
  </si>
  <si>
    <t>Respetar señalización uso de EPPS</t>
  </si>
  <si>
    <t>Iluminacion inadecuada o deficiente</t>
  </si>
  <si>
    <t>Alteraciones visuales, dolor de cabeza, esfuerzo visual</t>
  </si>
  <si>
    <t>Inspecciones mensuales/mantenimiento de luminarias/monitoreo de iluminación</t>
  </si>
  <si>
    <t>Coordinador SIG/ Supervisor SST/ 
 Supervisor de Mantenimiento</t>
  </si>
  <si>
    <t>Posturas de trabajo</t>
  </si>
  <si>
    <t>Posturas forzadas o inadecuadas lesiones musculo esqueléticas,lumbalgia</t>
  </si>
  <si>
    <t>Control Administrativo//monitoreo ocupacional ergonómico.</t>
  </si>
  <si>
    <t>Coordinador SIG / Supervisor SST/Operarios</t>
  </si>
  <si>
    <t>Polvillo respirable e inhalable</t>
  </si>
  <si>
    <t>irritación a los ojos,alergias</t>
  </si>
  <si>
    <t>Uso obligatorio de EPPS/monitoreo ocupacional de polvo,programa anual de SST,rutina de limpieza,inspecciones mensuales</t>
  </si>
  <si>
    <t>Coordinador SIG / Supervisor SST</t>
  </si>
  <si>
    <t>Uso corecto de los Epp's</t>
  </si>
  <si>
    <t>Maquinas de corte manual</t>
  </si>
  <si>
    <t>contacto con partes filosas, atrapamiento, cortes, amputaciones, aplastamientos, decargas electricas.</t>
  </si>
  <si>
    <t>Control administrativo/señalizacion/ guantes anticorte,lentes de seguridad, protectores auditivos,programa de mantenimiento.</t>
  </si>
  <si>
    <t xml:space="preserve">Coordinador SIG/ Supervisor SST/ Supervisor de Mantenimiento/Jefe de Ingenieria de confecciones
</t>
  </si>
  <si>
    <t>El personal debe reportar un desperfecto de consideracion peligrosa, asi como usar obligatoriamente los EPP's</t>
  </si>
  <si>
    <t>Electricidad</t>
  </si>
  <si>
    <t>Contacto con partes energizadas</t>
  </si>
  <si>
    <t>programa de mantenimiento,mantenimiento preventivo</t>
  </si>
  <si>
    <t>Coordinador SIG / Supervisor SST/Supervisor de Mantenimiento/Operarios</t>
  </si>
  <si>
    <t>SARCOV 2</t>
  </si>
  <si>
    <t>Puede ocasionar COVID ,Contagio, muerte</t>
  </si>
  <si>
    <t>Control Administrativo / EPP/ señalizacion, uso obligatorio de mascarilla, Plan de vigilancia COVID, tomar control de vacunacion.</t>
  </si>
  <si>
    <t>Coordinador SIG/ Supervisor SST/ 
 Supervisor de seguridad/Jefe de ingenieria/Alta Dirección</t>
  </si>
  <si>
    <t>Respetar las normativas</t>
  </si>
  <si>
    <t xml:space="preserve">Peligros del Entorno </t>
  </si>
  <si>
    <t>Robos o asaltos,ataque , arrastre, lesiones ,secuestro</t>
  </si>
  <si>
    <t>Control Administrativo/Charlas de seguridad,protocolo ante robos y asalto,cámaras de seguridad externa</t>
  </si>
  <si>
    <t>no llevar celulares a la mano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</si>
  <si>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</si>
  <si>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 xml:space="preserve">
1. Operarias 
2. Supervisor de Confeccion y Acabados
3. Jefe de Ingenieria de Confecciones 4.Control de calidad</t>
  </si>
  <si>
    <t xml:space="preserve">
1. Emsamblaje
2. Acabado
3. Despacho
4.- Control de calidad</t>
  </si>
  <si>
    <t>Maquinas con partes movibles</t>
  </si>
  <si>
    <t>Lesiones, golpes, atrapamiento, cortes, pinchazos, aplastamientos, golpes quemaduras, decargas electricas.</t>
  </si>
  <si>
    <t xml:space="preserve">Control administrativo/señalizacion/EPP guantes anticorte,lentes de seguridad, guardas, tapas de seguridad, programa mantenimiento </t>
  </si>
  <si>
    <t>Coordinador SIG/ Supervisor SST/ SUPERVISOR DE MANTENIMIENTO/ Supervisor de confecciones</t>
  </si>
  <si>
    <t>El personal debe reportar un desperfecto de consideracion peligrosa</t>
  </si>
  <si>
    <t>Sustancias Quimicas</t>
  </si>
  <si>
    <t>Contacto con sustancias químicas,Alergias,intoxicacion,vertigo y dolor de cabeza</t>
  </si>
  <si>
    <t>Ficha de seguridad / EPP/señalizacion</t>
  </si>
  <si>
    <t>Respetar las recomendaciones</t>
  </si>
  <si>
    <t>Situación potencial de Incendio</t>
  </si>
  <si>
    <t>Quemadura , asfixia,muerte</t>
  </si>
  <si>
    <t>Programa de capacitaciones / EPP/señalizacion/extintores/programa de simulacros/brigadas de seguridad capacitadas en respuesta inmediata</t>
  </si>
  <si>
    <t>Coordinador SIG/ Supervisor SST/ 
 Supervisor de confecciones/Personal Capacitado</t>
  </si>
  <si>
    <t>Procedimiento Preparacion y Respuesta ante Emergencias/entrenamiento uso de extintores</t>
  </si>
  <si>
    <t xml:space="preserve">CONFECCION </t>
  </si>
  <si>
    <t>Falta de ventilacion</t>
  </si>
  <si>
    <t>Fatiga, cansancio, calor, dolor de cabeza, sueño</t>
  </si>
  <si>
    <t>Aumento de  ventiladores para ayudar a circular el aire,apertura de ventanas</t>
  </si>
  <si>
    <t>Coordinador SIG/ Supervisor SST/Alta dirección
 Supervisor de confecciones</t>
  </si>
  <si>
    <t>Herramientas manuales y punzo cortantes</t>
  </si>
  <si>
    <t>Lesiones, cortes, pinchazos, golpes.</t>
  </si>
  <si>
    <t>programa de capacitacion,charlas de seguridad,reunión de apertura</t>
  </si>
  <si>
    <t>NO, utilizar herramientas en mal estado. Retirar del area de trabajo</t>
  </si>
  <si>
    <t>Comunicación y entrenamiento Ineficaz</t>
  </si>
  <si>
    <t>Falta de cumplimiento a los procedimientos,falta de  apoyo por parte de la dirección o los compañeros; acoso psicológico y sexual, violencia ejercida.</t>
  </si>
  <si>
    <t>Capacitaciones hostigamiento y acoso sexual laboral,monitoreo psicosocial,pausas activas,reconocimientos,cámaras de seguridad,programa de capacitaciones</t>
  </si>
  <si>
    <t>Estanteria y Moviliario</t>
  </si>
  <si>
    <t>Lesiones, atrapamiento, cortes, pinchazos, aplastamientos, golpes.</t>
  </si>
  <si>
    <t>moviliario asegurado a pared, señalización material por cliente,inspecciones mensuales</t>
  </si>
  <si>
    <t>Superficies energizadas</t>
  </si>
  <si>
    <t>Contacto con partes energizadas, descargas electricas, quemaduras</t>
  </si>
  <si>
    <t>equipos con linea a tierra,mantenimiento preventivo,señalizacion,cuchilla termomagnetica diferenciales, instalacion de pozo a tierra y medicion de operatividad,guardas de protección</t>
  </si>
  <si>
    <t>Coordinador SIG/ Supervisor SST/ Supervisor de Mantenimiento/
 Supervisor de confecciones</t>
  </si>
  <si>
    <t>La manipulación de energía sólo debe ser por personal capacitado y autorizado</t>
  </si>
  <si>
    <t>Superficies resbaladizas</t>
  </si>
  <si>
    <t>Caidas al mismo nivel</t>
  </si>
  <si>
    <t>Control Administrativo / señalizacion/cinta antideslizante,inspecciones mensuales</t>
  </si>
  <si>
    <t>Control de Ingenieria/mantenimiento de luminarias,inspección mensual,monitoreo de Iluminación</t>
  </si>
  <si>
    <t>Coordinador SIG/ Supervisor SST/ 
 Supervisor de confecciones/Supervisor de Mantenimiento</t>
  </si>
  <si>
    <t>Propiciar iluminacion natural, en las instalaciones</t>
  </si>
  <si>
    <t>Vidrios expuestos</t>
  </si>
  <si>
    <t>Cortes, lesiones</t>
  </si>
  <si>
    <t>Control de Ingenieria/ lamina de seguridad/señalización zonas seguras</t>
  </si>
  <si>
    <t>mantenimiento de instalaciones ventiladas, señalizacion, uso obligatorio de mascarilla, Plan de vigilancia COVID,ficha de sintomatología al ingreso de personal nuevo,  control de carnet vacunacion.</t>
  </si>
  <si>
    <t>Usar EPPS</t>
  </si>
  <si>
    <t>Alteraciones auditivas</t>
  </si>
  <si>
    <t>Control Administrativo / EPP/ señalizacion, uso obligatorio de audifonos de seguridad/control de decibeles, monitoreo ocupacional de ruido, controles de maquinas.</t>
  </si>
  <si>
    <t>Capacitación 5'S, rutinas de orden y limpieza</t>
  </si>
  <si>
    <t>Posturas inadecuadas</t>
  </si>
  <si>
    <t>Lesiones musculo-esqueleticas</t>
  </si>
  <si>
    <t>Control Administrativo/parada activa/monitoreo ocupacional ergonómico,señalización por máquina,charlas 5min,reunión de apertura,examen médico ocupacional</t>
  </si>
  <si>
    <t>Respetar la señalizacion de postura y recomendaciones</t>
  </si>
  <si>
    <t>Psicosocial Sindrome de agotamiento emocional (Burnout)</t>
  </si>
  <si>
    <t>Tension emocional,irritabilidad,estres,fatiga mental .transtornos digestivos,tension nerviosa,depresion</t>
  </si>
  <si>
    <t>Control Administrativo, parada activa,inducción ,programa de capacitaciones,monitoreo ocupacional psicosocial</t>
  </si>
  <si>
    <t>Coordinador SIG / Supervisor SST/Gestiíón de Talento Humano</t>
  </si>
  <si>
    <t>Quemadura por plancha industrial</t>
  </si>
  <si>
    <t>quemadura por contacto a superficie caliente,vapor caliente, quemadura de 2do grado</t>
  </si>
  <si>
    <t>programa mantenimiento de equipos,mantenimiento preventivo,señalización</t>
  </si>
  <si>
    <t>Coordinador SIG / Supervisor SST / Supervisor de confeccion</t>
  </si>
  <si>
    <t>Explosión de compresora</t>
  </si>
  <si>
    <t xml:space="preserve"> problemas auditivos,lesiones multiples,muerte</t>
  </si>
  <si>
    <t>programa de mantenimiento, uso de protector auditivo,mantenimiento preventivo</t>
  </si>
  <si>
    <t>Coordinador SIG / Supervisor SST/ Supervisor de mantenimieto</t>
  </si>
  <si>
    <t>Informar ante cualquier eventualidad</t>
  </si>
  <si>
    <t>Control Administrativo/entrega de EPPS,monitoreo ocupacional de polvo,exámen ocupacional,rutina de limpieza,programa de mantenimiento,inspección mensual</t>
  </si>
  <si>
    <t>Coordinador SIG / Supervisor SST/Supervisor de Mantenimiento</t>
  </si>
  <si>
    <t>Uso correcto de EPPS</t>
  </si>
  <si>
    <t>Robos o asaltos,ataque , arrastre, lesiones ,secuestro, atropello</t>
  </si>
  <si>
    <t>protocolo ante robo o asalto,charla de 5min SST,cámaras de seguridad exterior</t>
  </si>
  <si>
    <t>Coordinador SIG / Supervisor SST/Todas las areas</t>
  </si>
  <si>
    <t>NO</t>
  </si>
  <si>
    <t>NO llevar celular en la mano, estar atentos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</si>
  <si>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</si>
  <si>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>Diseño y Desarrollo</t>
  </si>
  <si>
    <t>1.-Analista de Patronaje y Diseño</t>
  </si>
  <si>
    <t>1. Creación y escalado de los Patrones
2. Elaboracion de la Contramuestra</t>
  </si>
  <si>
    <t>Control Administrativo/ parada activa,monitoreo ergonomico,examen medico ocupacional,charlas 5min</t>
  </si>
  <si>
    <t>Moderado</t>
  </si>
  <si>
    <t>Tolerable</t>
  </si>
  <si>
    <t xml:space="preserve">NO llevar celular en la mano </t>
  </si>
  <si>
    <t>Cables enredados baja tension</t>
  </si>
  <si>
    <t>Control administrativo/programa de mantenimiento,inspeccion mensual,programa de capacitaciones,mantenimiento preventivo</t>
  </si>
  <si>
    <t>Iluminación (luz visible porexceso o deficiencia),Radiaciones no ionizantes(generados por lámparasfluorescentes, computadores)</t>
  </si>
  <si>
    <t>Fatiga visual, pérdidaagudeza visual, síndromeojo rojo y perdida de lacapacidad visual, dolor decabeza, menor rendimiento</t>
  </si>
  <si>
    <t>Control de Ingenieria/mantenimiento de luminarias,monitoreo de iluminación,examen medico ocupacional,inspección mensual,control de restricciones de exámen ocupacional</t>
  </si>
  <si>
    <t>Coordinador SIG / Supervisor SST/Jefe Gestión de Talento Humano</t>
  </si>
  <si>
    <t>Materiales en Altura</t>
  </si>
  <si>
    <t>Caida, impacto a personas o equipos</t>
  </si>
  <si>
    <t>Control administrativo/inducción ,programa de capacitaciones,inspección mensual</t>
  </si>
  <si>
    <t>Falta de cumplimiento a los procedimientos, apoyo por parte de la dirección o los compañeros; acoso psicológico y sexual, violencia ejercida.</t>
  </si>
  <si>
    <t>Coordinador SIG/Gerente General/Jefe de Gestión de Talento Humano</t>
  </si>
  <si>
    <t>Control Administrativo/capacitacion sobre 5s,rutina de limpieza,inspecciones mensuales</t>
  </si>
  <si>
    <t>Gestión Comercial</t>
  </si>
  <si>
    <t>1. -Jefe Comercial</t>
  </si>
  <si>
    <t>1. Negociacion
2. Visita al cliente
3. Estudio de mercardo
4. Lanzamiento de Productos
5. Cobro a los clientes
6. Pago a Proveedores</t>
  </si>
  <si>
    <t>Conducción de Vehículos</t>
  </si>
  <si>
    <t>Atropellamiento,golpes,traumas,fracturas,muerte</t>
  </si>
  <si>
    <t>horario flexible,protocolo ante robo o asalto,revisión técnica  ,SOAT,uso de cinturón de seguridad,mantenimiento/sustituir</t>
  </si>
  <si>
    <t>Coordinador SIG</t>
  </si>
  <si>
    <t>SI</t>
  </si>
  <si>
    <t xml:space="preserve">Manejar con Precaución, no consumir bebidas alcohólicas </t>
  </si>
  <si>
    <t>Fatiga visual, pérdidaagudeza visual, síndromeojo rojo y perdida de la capacidad visual, dolor decabeza, menor rendimiento</t>
  </si>
  <si>
    <t>Coordinador SIG/Supervisor SST</t>
  </si>
  <si>
    <t>Coordinador SIG/Gerente General</t>
  </si>
  <si>
    <t>Control administrativo/inducción ,programa de capacitaciones,inspección mensual,rutina de limpieza</t>
  </si>
  <si>
    <t>GESTION DE TALENTO HUMANO</t>
  </si>
  <si>
    <t>1.Jefe de Gestión de Talento Humano</t>
  </si>
  <si>
    <t xml:space="preserve">1. Contratación de personal
2. Pago de Planillas
</t>
  </si>
  <si>
    <t>Control de Ingenieria/cambio de luminarias</t>
  </si>
  <si>
    <t>Comunicación Ineficaz</t>
  </si>
  <si>
    <t>Control Administrativo/capacitacion sobre 5s, señalizacion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</si>
  <si>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</si>
  <si>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>Mantenimiento</t>
  </si>
  <si>
    <t>1. Supervisor de Mantenimiento y control de equipos/Jefe de Ingenieria de Confecciones</t>
  </si>
  <si>
    <t>1. Ejecución de Mantenimiento Preventivos y correctivos por personal interno y externo</t>
  </si>
  <si>
    <t>Uso Insumos Quimicos( aceites)</t>
  </si>
  <si>
    <t>caida ,impacto a personas</t>
  </si>
  <si>
    <t>Control Administrativo/capacitación IPERC , procedimientos/Charlas de seguridad/ Orden y limpieza</t>
  </si>
  <si>
    <t>Coordinador SIG/Supervisor SST/Supervisor de Mantenimiento</t>
  </si>
  <si>
    <t>Solo Personal entrenado y autorizado</t>
  </si>
  <si>
    <t>Alteraciones visuales</t>
  </si>
  <si>
    <t>Mantenimiento de luminarias,monitoreo de iluminacion,inspección mensual</t>
  </si>
  <si>
    <t>No usar herramientas adecuadas</t>
  </si>
  <si>
    <t>Lesiones, cortes, pinchazos, aplastamientos, golpes, quemaduras.</t>
  </si>
  <si>
    <t>Control Administrativo/señalizacion,charlas de seguridad</t>
  </si>
  <si>
    <t>Coordinador SIG/ Supervisor SST/ 
 Supervisor de confecciones/ Supervisor de Mantenimiento</t>
  </si>
  <si>
    <t>Coordinador SIG / Supervisor SST/ Supervisor de Mantenimiento</t>
  </si>
  <si>
    <t>Maquinas con partes movibles sin proteccion</t>
  </si>
  <si>
    <t>Lesiones, golpes, atrapamiento, cortes, amputaciones, pinchazos, aplastamientos, golpes quemaduras, decargas electricas.</t>
  </si>
  <si>
    <t>Coordinador SIG/
 Supervisor de confecciones/ Supervisor de Mantenimiento</t>
  </si>
  <si>
    <t>METODOLOGIA ISO 45001:2018</t>
  </si>
  <si>
    <t>SEVERIDAD</t>
  </si>
  <si>
    <t>ÍNDICE</t>
  </si>
  <si>
    <r>
      <rPr>
        <b/>
        <sz val="9"/>
        <color theme="0"/>
        <rFont val="Calibri"/>
        <family val="2"/>
      </rPr>
      <t>PROBABILIDAD</t>
    </r>
    <r>
      <rPr>
        <sz val="9"/>
        <color rgb="FFFFFFFF"/>
        <rFont val="Calibri"/>
        <family val="2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</si>
  <si>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</si>
  <si>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</si>
  <si>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</si>
  <si>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</si>
  <si>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</si>
  <si>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</si>
  <si>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</si>
  <si>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</si>
  <si>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</si>
  <si>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sz val="9"/>
        <color theme="1"/>
        <rFont val="Calibri"/>
        <family val="2"/>
      </rPr>
      <t>Existen, son satisfactorios y suficientes y</t>
    </r>
    <r>
      <rPr>
        <u/>
        <sz val="9"/>
        <color theme="1"/>
        <rFont val="Calibri"/>
        <family val="2"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</si>
  <si>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</si>
  <si>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</si>
  <si>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Sin Lesión / Lesión sin incapacidad: Pequeños cortes o magulladuras, irritación de los ojos por polvo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</si>
  <si>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</si>
  <si>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</si>
  <si>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</si>
  <si>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</si>
  <si>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</si>
  <si>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sz val="9"/>
        <color theme="1"/>
        <rFont val="Calibri"/>
        <family val="2"/>
      </rPr>
      <t xml:space="preserve">Existen parcialmente y no son satisfactorios </t>
    </r>
    <r>
      <rPr>
        <b/>
        <u/>
        <sz val="9"/>
        <color theme="1"/>
        <rFont val="Calibri"/>
        <family val="2"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</si>
  <si>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</si>
  <si>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</si>
  <si>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temporal: Fracturas menores, entre otros.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</si>
  <si>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</si>
  <si>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</si>
  <si>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</si>
  <si>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</si>
  <si>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</si>
  <si>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permanente / Muerte (S): Amputaciones, fracturas mayores.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</si>
  <si>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</si>
  <si>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</si>
  <si>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</si>
  <si>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</si>
  <si>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b/>
        <sz val="14"/>
        <color theme="1"/>
        <rFont val="Arial"/>
        <family val="2"/>
      </rPr>
      <t>Riesgo No Aceptable</t>
    </r>
    <r>
      <rPr>
        <sz val="14"/>
        <color theme="1"/>
        <rFont val="Arial"/>
        <family val="2"/>
      </rPr>
      <t>, requiere controles inmediatos obligatorio. Si no se puede controlar el peligro se paralizan los trabajos</t>
    </r>
  </si>
  <si>
    <t>IMPORTANTE</t>
  </si>
  <si>
    <r>
      <rPr>
        <b/>
        <sz val="14"/>
        <color theme="1"/>
        <rFont val="Arial"/>
        <family val="2"/>
      </rPr>
      <t>Riesgo Aceptable,</t>
    </r>
    <r>
      <rPr>
        <sz val="14"/>
        <color theme="1"/>
        <rFont val="Arial"/>
        <family val="2"/>
      </rPr>
      <t xml:space="preserve"> es recomendable proponer controles para reducir el riesgos, Mantener una vigilancia de la eficacia de los controles existentes.</t>
    </r>
  </si>
  <si>
    <t>MODERADO</t>
  </si>
  <si>
    <r>
      <rPr>
        <b/>
        <sz val="14"/>
        <color theme="1"/>
        <rFont val="Arial"/>
        <family val="2"/>
      </rPr>
      <t xml:space="preserve">Riesgo Aceptable: </t>
    </r>
    <r>
      <rPr>
        <sz val="14"/>
        <color theme="1"/>
        <rFont val="Arial"/>
        <family val="2"/>
      </rPr>
      <t>Mantener una vigilancia de  la eficacia de los controles existentes y si es viable reducir el riesgo</t>
    </r>
  </si>
  <si>
    <t>TOLERABLE-TRIVIAL</t>
  </si>
  <si>
    <r>
      <rPr>
        <b/>
        <sz val="14"/>
        <color theme="1"/>
        <rFont val="Arial"/>
        <family val="2"/>
      </rPr>
      <t>Riesgo Aceptable</t>
    </r>
    <r>
      <rPr>
        <sz val="14"/>
        <color theme="1"/>
        <rFont val="Arial"/>
        <family val="2"/>
      </rPr>
      <t>: Mantener una vigilancia de  la eficacia de los controles existentes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</si>
</sst>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3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rgb="FF202124"/>
      <name val="Arial"/>
      <family val="2"/>
    </font>
    <font>
      <b/>
      <sz val="20"/>
      <color theme="1"/>
      <name val="Arial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sz val="12"/>
      <color theme="0"/>
      <name val="Arial"/>
      <family val="2"/>
    </font>
    <font>
      <sz val="9"/>
      <color rgb="FFFFFFFF"/>
      <name val="Calibri"/>
      <family val="2"/>
    </font>
    <font>
      <u/>
      <sz val="9"/>
      <color theme="1"/>
      <name val="Calibri"/>
      <family val="2"/>
    </font>
    <font>
      <b/>
      <u/>
      <sz val="10"/>
      <color theme="1"/>
      <name val="Arial"/>
      <family val="2"/>
    </font>
    <font>
      <b/>
      <u/>
      <sz val="9"/>
      <color theme="1"/>
      <name val="Calibri"/>
      <family val="2"/>
    </font>
    <font>
      <b/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5AC957"/>
        <bgColor rgb="FF5AC957"/>
      </patternFill>
    </fill>
    <fill>
      <patternFill patternType="solid">
        <fgColor rgb="FF00B050"/>
        <bgColor rgb="FF00B050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/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/>
    <xf numFmtId="0" fontId="4" fillId="6" borderId="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textRotation="90" wrapText="1"/>
    </xf>
    <xf numFmtId="0" fontId="10" fillId="4" borderId="12" xfId="0" applyFont="1" applyFill="1" applyBorder="1" applyAlignment="1">
      <alignment horizontal="center" vertical="center" textRotation="90" wrapText="1"/>
    </xf>
    <xf numFmtId="0" fontId="4" fillId="7" borderId="12" xfId="0" applyFont="1" applyFill="1" applyBorder="1" applyAlignment="1">
      <alignment horizontal="center" vertical="center" textRotation="90" wrapText="1"/>
    </xf>
    <xf numFmtId="0" fontId="14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wrapText="1"/>
    </xf>
    <xf numFmtId="0" fontId="15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0" xfId="0" applyFont="1"/>
    <xf numFmtId="0" fontId="13" fillId="2" borderId="17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3" fillId="8" borderId="8" xfId="0" applyNumberFormat="1" applyFont="1" applyFill="1" applyBorder="1" applyAlignment="1">
      <alignment horizontal="center" vertical="center" wrapText="1"/>
    </xf>
    <xf numFmtId="164" fontId="13" fillId="9" borderId="8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4" fontId="13" fillId="10" borderId="8" xfId="0" applyNumberFormat="1" applyFont="1" applyFill="1" applyBorder="1" applyAlignment="1">
      <alignment horizontal="center" vertical="center" wrapText="1"/>
    </xf>
    <xf numFmtId="0" fontId="20" fillId="13" borderId="31" xfId="0" applyFont="1" applyFill="1" applyBorder="1" applyAlignment="1">
      <alignment horizontal="center" vertical="center" wrapText="1"/>
    </xf>
    <xf numFmtId="0" fontId="20" fillId="13" borderId="32" xfId="0" applyFont="1" applyFill="1" applyBorder="1" applyAlignment="1">
      <alignment horizontal="center" vertical="center" wrapText="1"/>
    </xf>
    <xf numFmtId="0" fontId="20" fillId="13" borderId="33" xfId="0" applyFont="1" applyFill="1" applyBorder="1" applyAlignment="1">
      <alignment horizontal="center" vertical="center" wrapText="1"/>
    </xf>
    <xf numFmtId="0" fontId="20" fillId="13" borderId="34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22" fillId="0" borderId="3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20" fillId="13" borderId="38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4" fillId="5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4" fillId="7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16" xfId="0" applyFont="1" applyBorder="1"/>
    <xf numFmtId="0" fontId="13" fillId="2" borderId="2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1" fillId="0" borderId="15" xfId="0" applyFont="1" applyBorder="1"/>
    <xf numFmtId="0" fontId="14" fillId="2" borderId="1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3" xfId="0" applyFont="1" applyBorder="1"/>
    <xf numFmtId="0" fontId="11" fillId="0" borderId="14" xfId="0" applyFont="1" applyBorder="1"/>
    <xf numFmtId="0" fontId="11" fillId="0" borderId="18" xfId="0" applyFont="1" applyBorder="1"/>
    <xf numFmtId="0" fontId="6" fillId="11" borderId="5" xfId="0" applyFont="1" applyFill="1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11" fillId="0" borderId="21" xfId="0" applyFont="1" applyBorder="1"/>
    <xf numFmtId="0" fontId="11" fillId="0" borderId="22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9" fillId="12" borderId="23" xfId="0" applyFont="1" applyFill="1" applyBorder="1" applyAlignment="1">
      <alignment horizontal="center" vertical="center" wrapText="1"/>
    </xf>
    <xf numFmtId="0" fontId="11" fillId="0" borderId="30" xfId="0" applyFont="1" applyBorder="1"/>
    <xf numFmtId="0" fontId="19" fillId="12" borderId="24" xfId="0" applyFont="1" applyFill="1" applyBorder="1" applyAlignment="1">
      <alignment horizontal="center" vertical="center" wrapText="1"/>
    </xf>
    <xf numFmtId="0" fontId="11" fillId="0" borderId="25" xfId="0" applyFont="1" applyBorder="1"/>
    <xf numFmtId="0" fontId="11" fillId="0" borderId="26" xfId="0" applyFont="1" applyBorder="1"/>
    <xf numFmtId="0" fontId="21" fillId="11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3" fillId="8" borderId="5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/>
    <xf numFmtId="0" fontId="2" fillId="0" borderId="5" xfId="0" applyFont="1" applyBorder="1" applyAlignment="1">
      <alignment vertical="top" wrapText="1"/>
    </xf>
    <xf numFmtId="0" fontId="24" fillId="14" borderId="5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horizontal="center" vertical="center" textRotation="90" wrapText="1"/>
    </xf>
    <xf numFmtId="0" fontId="11" fillId="0" borderId="41" xfId="0" applyFont="1" applyBorder="1"/>
    <xf numFmtId="0" fontId="11" fillId="0" borderId="42" xfId="0" applyFont="1" applyBorder="1"/>
    <xf numFmtId="0" fontId="23" fillId="10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1" fillId="0" borderId="43" xfId="0" applyFont="1" applyBorder="1"/>
    <xf numFmtId="0" fontId="25" fillId="11" borderId="3" xfId="0" applyFont="1" applyFill="1" applyBorder="1" applyAlignment="1">
      <alignment horizontal="center"/>
    </xf>
    <xf numFmtId="0" fontId="26" fillId="11" borderId="3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0" fontId="26" fillId="10" borderId="2" xfId="0" applyFont="1" applyFill="1" applyBorder="1" applyAlignment="1">
      <alignment horizontal="center"/>
    </xf>
  </cellXfs>
  <cellStyles count="1">
    <cellStyle name="Normal" xfId="0" builtinId="0"/>
  </cellStyles>
  <dxfs count="25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3.jpg"/><Relationship Id="rId4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4.jp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D93CB59D-94BE-4357-B9FA-18C43C6A7306}"/>
            </a:ext>
          </a:extLst>
        </xdr:cNvPr>
        <xdr:cNvGrpSpPr/>
      </xdr:nvGrpSpPr>
      <xdr:grpSpPr>
        <a:xfrm>
          <a:off x="3267075" y="133350"/>
          <a:ext cx="10096500" cy="790575"/>
          <a:chOff x="297750" y="3384713"/>
          <a:chExt cx="10096500" cy="790575"/>
        </a:xfrm>
      </xdr:grpSpPr>
      <xdr:grpSp>
        <xdr:nvGrpSpPr>
          <xdr:cNvPr id="3" name="Shape 54">
            <a:extLst>
              <a:ext uri="{FF2B5EF4-FFF2-40B4-BE49-F238E27FC236}">
                <a16:creationId xmlns:a16="http://schemas.microsoft.com/office/drawing/2014/main" id="{3293E297-7444-A203-628A-B1B4AFD943F6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98B28892-4D84-4922-5BBF-DC2E54BBD359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5">
              <a:extLst>
                <a:ext uri="{FF2B5EF4-FFF2-40B4-BE49-F238E27FC236}">
                  <a16:creationId xmlns:a16="http://schemas.microsoft.com/office/drawing/2014/main" id="{033C289F-167B-3AC1-6769-B913AD584285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6" name="Shape 56">
                <a:extLst>
                  <a:ext uri="{FF2B5EF4-FFF2-40B4-BE49-F238E27FC236}">
                    <a16:creationId xmlns:a16="http://schemas.microsoft.com/office/drawing/2014/main" id="{E79C4BEB-CC90-F3BA-3027-F0AD785D151C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57">
                <a:extLst>
                  <a:ext uri="{FF2B5EF4-FFF2-40B4-BE49-F238E27FC236}">
                    <a16:creationId xmlns:a16="http://schemas.microsoft.com/office/drawing/2014/main" id="{8E94251D-F677-D7F5-7F8A-EA171C6EF3B5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" name="Shape 58">
                  <a:extLst>
                    <a:ext uri="{FF2B5EF4-FFF2-40B4-BE49-F238E27FC236}">
                      <a16:creationId xmlns:a16="http://schemas.microsoft.com/office/drawing/2014/main" id="{886DEF2D-83BE-C1C2-6FC7-56145895CD05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59">
                  <a:extLst>
                    <a:ext uri="{FF2B5EF4-FFF2-40B4-BE49-F238E27FC236}">
                      <a16:creationId xmlns:a16="http://schemas.microsoft.com/office/drawing/2014/main" id="{C6AFC8BE-796C-EA24-6CCD-9BB1D8B29909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10" name="Shape 60">
                    <a:extLst>
                      <a:ext uri="{FF2B5EF4-FFF2-40B4-BE49-F238E27FC236}">
                        <a16:creationId xmlns:a16="http://schemas.microsoft.com/office/drawing/2014/main" id="{E68E9013-BEC7-E872-921F-629E3708DD9F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61" title="Dibujo">
                    <a:extLst>
                      <a:ext uri="{FF2B5EF4-FFF2-40B4-BE49-F238E27FC236}">
                        <a16:creationId xmlns:a16="http://schemas.microsoft.com/office/drawing/2014/main" id="{A44C2347-240B-D6EF-C376-9BC710C21785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12" name="Shape 62">
                      <a:extLst>
                        <a:ext uri="{FF2B5EF4-FFF2-40B4-BE49-F238E27FC236}">
                          <a16:creationId xmlns:a16="http://schemas.microsoft.com/office/drawing/2014/main" id="{A3CD74A2-D12A-43C0-3D50-4E659306EA2B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63">
                      <a:extLst>
                        <a:ext uri="{FF2B5EF4-FFF2-40B4-BE49-F238E27FC236}">
                          <a16:creationId xmlns:a16="http://schemas.microsoft.com/office/drawing/2014/main" id="{CDA62461-F5AD-5A41-8F9C-4804554CF5D5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14" name="Shape 64">
                        <a:extLst>
                          <a:ext uri="{FF2B5EF4-FFF2-40B4-BE49-F238E27FC236}">
                            <a16:creationId xmlns:a16="http://schemas.microsoft.com/office/drawing/2014/main" id="{59CA3AF8-00A1-1A08-202B-33EC0F7B77E5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65">
                        <a:extLst>
                          <a:ext uri="{FF2B5EF4-FFF2-40B4-BE49-F238E27FC236}">
                            <a16:creationId xmlns:a16="http://schemas.microsoft.com/office/drawing/2014/main" id="{9F248B99-C605-94E4-61CA-84CDE485814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16" name="Shape 66">
                          <a:extLst>
                            <a:ext uri="{FF2B5EF4-FFF2-40B4-BE49-F238E27FC236}">
                              <a16:creationId xmlns:a16="http://schemas.microsoft.com/office/drawing/2014/main" id="{C03EC350-28BD-7FB5-A91D-B8A04353F0B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17" name="Shape 67">
                          <a:extLst>
                            <a:ext uri="{FF2B5EF4-FFF2-40B4-BE49-F238E27FC236}">
                              <a16:creationId xmlns:a16="http://schemas.microsoft.com/office/drawing/2014/main" id="{D50DC203-3180-F338-7E3A-F7F8476A00BF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18" name="Shape 68">
                          <a:extLst>
                            <a:ext uri="{FF2B5EF4-FFF2-40B4-BE49-F238E27FC236}">
                              <a16:creationId xmlns:a16="http://schemas.microsoft.com/office/drawing/2014/main" id="{5E85E877-8D17-BC96-104E-02179ADEC084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19" name="Shape 69">
                          <a:extLst>
                            <a:ext uri="{FF2B5EF4-FFF2-40B4-BE49-F238E27FC236}">
                              <a16:creationId xmlns:a16="http://schemas.microsoft.com/office/drawing/2014/main" id="{01F0879C-C055-B276-8578-ADB0B73EDA3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0" name="Shape 70">
                          <a:extLst>
                            <a:ext uri="{FF2B5EF4-FFF2-40B4-BE49-F238E27FC236}">
                              <a16:creationId xmlns:a16="http://schemas.microsoft.com/office/drawing/2014/main" id="{AE98F3C3-77CA-4F1D-BEA5-3F437D249E5E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1" name="Shape 71">
                          <a:extLst>
                            <a:ext uri="{FF2B5EF4-FFF2-40B4-BE49-F238E27FC236}">
                              <a16:creationId xmlns:a16="http://schemas.microsoft.com/office/drawing/2014/main" id="{2F446034-D7EE-6DD4-6A6A-5CA8EDEAB56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2" name="Shape 72">
                          <a:extLst>
                            <a:ext uri="{FF2B5EF4-FFF2-40B4-BE49-F238E27FC236}">
                              <a16:creationId xmlns:a16="http://schemas.microsoft.com/office/drawing/2014/main" id="{1C1C7D93-30F7-6BC5-A8A3-FAF917C0ECCE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3" name="Shape 73">
                          <a:extLst>
                            <a:ext uri="{FF2B5EF4-FFF2-40B4-BE49-F238E27FC236}">
                              <a16:creationId xmlns:a16="http://schemas.microsoft.com/office/drawing/2014/main" id="{E75194F2-4D55-F783-4E12-32A33696675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4" name="Shape 74">
                          <a:extLst>
                            <a:ext uri="{FF2B5EF4-FFF2-40B4-BE49-F238E27FC236}">
                              <a16:creationId xmlns:a16="http://schemas.microsoft.com/office/drawing/2014/main" id="{0043E0AE-675A-84B6-B96F-A339FBDACA5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5" name="Shape 75">
                          <a:extLst>
                            <a:ext uri="{FF2B5EF4-FFF2-40B4-BE49-F238E27FC236}">
                              <a16:creationId xmlns:a16="http://schemas.microsoft.com/office/drawing/2014/main" id="{B82CD7F3-D6E5-21CE-7529-9CA37AF1A6C3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6" name="Shape 76">
                          <a:extLst>
                            <a:ext uri="{FF2B5EF4-FFF2-40B4-BE49-F238E27FC236}">
                              <a16:creationId xmlns:a16="http://schemas.microsoft.com/office/drawing/2014/main" id="{BB245D69-055C-7C3B-9EB0-D63D57647C4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7" name="Shape 77">
                          <a:extLst>
                            <a:ext uri="{FF2B5EF4-FFF2-40B4-BE49-F238E27FC236}">
                              <a16:creationId xmlns:a16="http://schemas.microsoft.com/office/drawing/2014/main" id="{CD015C82-E3A1-E5D7-17FF-22DFAC75F88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28" name="Shape 78">
                          <a:extLst>
                            <a:ext uri="{FF2B5EF4-FFF2-40B4-BE49-F238E27FC236}">
                              <a16:creationId xmlns:a16="http://schemas.microsoft.com/office/drawing/2014/main" id="{A11504B3-74A0-8497-8CFD-C03BE7826851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twoCellAnchor editAs="oneCell">
    <xdr:from>
      <xdr:col>17</xdr:col>
      <xdr:colOff>0</xdr:colOff>
      <xdr:row>97</xdr:row>
      <xdr:rowOff>0</xdr:rowOff>
    </xdr:from>
    <xdr:to>
      <xdr:col>22</xdr:col>
      <xdr:colOff>846554</xdr:colOff>
      <xdr:row>105</xdr:row>
      <xdr:rowOff>29915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95DA2943-EC55-EA86-DC59-BCB11D66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12945" y="53714073"/>
          <a:ext cx="8466554" cy="1470787"/>
        </a:xfrm>
        <a:prstGeom prst="rect">
          <a:avLst/>
        </a:prstGeom>
      </xdr:spPr>
    </xdr:pic>
    <xdr:clientData/>
  </xdr:twoCellAnchor>
  <xdr:twoCellAnchor editAs="oneCell">
    <xdr:from>
      <xdr:col>2</xdr:col>
      <xdr:colOff>817418</xdr:colOff>
      <xdr:row>76</xdr:row>
      <xdr:rowOff>55419</xdr:rowOff>
    </xdr:from>
    <xdr:to>
      <xdr:col>14</xdr:col>
      <xdr:colOff>77821</xdr:colOff>
      <xdr:row>92</xdr:row>
      <xdr:rowOff>96983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C0EA2E27-8F7E-7F3E-2ED8-9F2A4460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49987201"/>
          <a:ext cx="16827966" cy="2923309"/>
        </a:xfrm>
        <a:prstGeom prst="rect">
          <a:avLst/>
        </a:prstGeom>
      </xdr:spPr>
    </xdr:pic>
    <xdr:clientData/>
  </xdr:twoCellAnchor>
  <xdr:twoCellAnchor>
    <xdr:from>
      <xdr:col>4</xdr:col>
      <xdr:colOff>1025235</xdr:colOff>
      <xdr:row>77</xdr:row>
      <xdr:rowOff>124691</xdr:rowOff>
    </xdr:from>
    <xdr:to>
      <xdr:col>6</xdr:col>
      <xdr:colOff>498764</xdr:colOff>
      <xdr:row>80</xdr:row>
      <xdr:rowOff>55419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1FE47333-80A6-55C6-716D-0E9D125BA8A3}"/>
            </a:ext>
          </a:extLst>
        </xdr:cNvPr>
        <xdr:cNvSpPr txBox="1"/>
      </xdr:nvSpPr>
      <xdr:spPr>
        <a:xfrm>
          <a:off x="4904508" y="50236582"/>
          <a:ext cx="177338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Elaborado:</a:t>
          </a:r>
        </a:p>
      </xdr:txBody>
    </xdr:sp>
    <xdr:clientData/>
  </xdr:twoCellAnchor>
  <xdr:twoCellAnchor>
    <xdr:from>
      <xdr:col>8</xdr:col>
      <xdr:colOff>429491</xdr:colOff>
      <xdr:row>77</xdr:row>
      <xdr:rowOff>69273</xdr:rowOff>
    </xdr:from>
    <xdr:to>
      <xdr:col>9</xdr:col>
      <xdr:colOff>678874</xdr:colOff>
      <xdr:row>80</xdr:row>
      <xdr:rowOff>1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74141148-E804-4326-BBAA-1CA1DADC0847}"/>
            </a:ext>
          </a:extLst>
        </xdr:cNvPr>
        <xdr:cNvSpPr txBox="1"/>
      </xdr:nvSpPr>
      <xdr:spPr>
        <a:xfrm>
          <a:off x="10626436" y="50181164"/>
          <a:ext cx="177338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Revisado:</a:t>
          </a:r>
        </a:p>
      </xdr:txBody>
    </xdr:sp>
    <xdr:clientData/>
  </xdr:twoCellAnchor>
  <xdr:twoCellAnchor>
    <xdr:from>
      <xdr:col>11</xdr:col>
      <xdr:colOff>1496292</xdr:colOff>
      <xdr:row>77</xdr:row>
      <xdr:rowOff>55418</xdr:rowOff>
    </xdr:from>
    <xdr:to>
      <xdr:col>13</xdr:col>
      <xdr:colOff>221675</xdr:colOff>
      <xdr:row>79</xdr:row>
      <xdr:rowOff>166255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B8FA8922-1D98-4DD9-8243-DD2A7AC7854E}"/>
            </a:ext>
          </a:extLst>
        </xdr:cNvPr>
        <xdr:cNvSpPr txBox="1"/>
      </xdr:nvSpPr>
      <xdr:spPr>
        <a:xfrm>
          <a:off x="16265237" y="50167309"/>
          <a:ext cx="177338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Aprobado:</a:t>
          </a:r>
        </a:p>
      </xdr:txBody>
    </xdr:sp>
    <xdr:clientData/>
  </xdr:twoCellAnchor>
  <xdr:twoCellAnchor>
    <xdr:from>
      <xdr:col>3</xdr:col>
      <xdr:colOff>152401</xdr:colOff>
      <xdr:row>79</xdr:row>
      <xdr:rowOff>83127</xdr:rowOff>
    </xdr:from>
    <xdr:to>
      <xdr:col>6</xdr:col>
      <xdr:colOff>1233055</xdr:colOff>
      <xdr:row>85</xdr:row>
      <xdr:rowOff>166253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1567F682-2CD7-4975-9618-07607E1416C6}"/>
            </a:ext>
          </a:extLst>
        </xdr:cNvPr>
        <xdr:cNvSpPr txBox="1"/>
      </xdr:nvSpPr>
      <xdr:spPr>
        <a:xfrm>
          <a:off x="2978728" y="50555236"/>
          <a:ext cx="4433454" cy="11637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/>
            <a:t>Nombre:    Erika</a:t>
          </a:r>
          <a:r>
            <a:rPr lang="es-PE" sz="2000" baseline="0"/>
            <a:t> Espinoza Arenas</a:t>
          </a:r>
        </a:p>
        <a:p>
          <a:pPr algn="ctr"/>
          <a:r>
            <a:rPr lang="es-PE" sz="2000"/>
            <a:t>Cargo: Coordinador SIG</a:t>
          </a:r>
        </a:p>
      </xdr:txBody>
    </xdr:sp>
    <xdr:clientData/>
  </xdr:twoCellAnchor>
  <xdr:twoCellAnchor>
    <xdr:from>
      <xdr:col>7</xdr:col>
      <xdr:colOff>471055</xdr:colOff>
      <xdr:row>79</xdr:row>
      <xdr:rowOff>27709</xdr:rowOff>
    </xdr:from>
    <xdr:to>
      <xdr:col>9</xdr:col>
      <xdr:colOff>1233055</xdr:colOff>
      <xdr:row>85</xdr:row>
      <xdr:rowOff>110835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882DCAF7-CCC4-4ABC-AF35-D169501E6F2D}"/>
            </a:ext>
          </a:extLst>
        </xdr:cNvPr>
        <xdr:cNvSpPr txBox="1"/>
      </xdr:nvSpPr>
      <xdr:spPr>
        <a:xfrm>
          <a:off x="8520546" y="50499818"/>
          <a:ext cx="4433454" cy="11637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/>
            <a:t>Nombre:    Erika</a:t>
          </a:r>
          <a:r>
            <a:rPr lang="es-PE" sz="2000" baseline="0"/>
            <a:t> Espinoza Arenas</a:t>
          </a:r>
        </a:p>
        <a:p>
          <a:pPr algn="ctr"/>
          <a:r>
            <a:rPr lang="es-PE" sz="2000"/>
            <a:t>Cargo: Coordinador SIG</a:t>
          </a:r>
        </a:p>
      </xdr:txBody>
    </xdr:sp>
    <xdr:clientData/>
  </xdr:twoCellAnchor>
  <xdr:twoCellAnchor>
    <xdr:from>
      <xdr:col>10</xdr:col>
      <xdr:colOff>803565</xdr:colOff>
      <xdr:row>79</xdr:row>
      <xdr:rowOff>41563</xdr:rowOff>
    </xdr:from>
    <xdr:to>
      <xdr:col>13</xdr:col>
      <xdr:colOff>665019</xdr:colOff>
      <xdr:row>85</xdr:row>
      <xdr:rowOff>124689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8EDE855A-D9FE-4B37-A067-A2DF02E553A8}"/>
            </a:ext>
          </a:extLst>
        </xdr:cNvPr>
        <xdr:cNvSpPr txBox="1"/>
      </xdr:nvSpPr>
      <xdr:spPr>
        <a:xfrm>
          <a:off x="14048510" y="50513672"/>
          <a:ext cx="4433454" cy="11637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/>
            <a:t>Nombre:    Omar Mendoza</a:t>
          </a:r>
          <a:endParaRPr lang="es-PE" sz="2000" baseline="0"/>
        </a:p>
        <a:p>
          <a:pPr algn="ctr"/>
          <a:r>
            <a:rPr lang="es-PE" sz="2000"/>
            <a:t>Cargo: Gereente General</a:t>
          </a:r>
        </a:p>
      </xdr:txBody>
    </xdr:sp>
    <xdr:clientData/>
  </xdr:twoCellAnchor>
  <xdr:oneCellAnchor>
    <xdr:from>
      <xdr:col>7</xdr:col>
      <xdr:colOff>1995055</xdr:colOff>
      <xdr:row>85</xdr:row>
      <xdr:rowOff>96981</xdr:rowOff>
    </xdr:from>
    <xdr:ext cx="1537854" cy="983673"/>
    <xdr:pic>
      <xdr:nvPicPr>
        <xdr:cNvPr id="52" name="image4.jpg">
          <a:extLst>
            <a:ext uri="{FF2B5EF4-FFF2-40B4-BE49-F238E27FC236}">
              <a16:creationId xmlns:a16="http://schemas.microsoft.com/office/drawing/2014/main" id="{E6D37CF2-69E8-4745-87E2-4DB1CD1DFE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4013" t="18304" r="55733" b="65058"/>
        <a:stretch/>
      </xdr:blipFill>
      <xdr:spPr>
        <a:xfrm>
          <a:off x="10044546" y="51649745"/>
          <a:ext cx="1537854" cy="983673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332509</xdr:colOff>
      <xdr:row>84</xdr:row>
      <xdr:rowOff>152399</xdr:rowOff>
    </xdr:from>
    <xdr:ext cx="1537854" cy="983673"/>
    <xdr:pic>
      <xdr:nvPicPr>
        <xdr:cNvPr id="53" name="image4.jpg">
          <a:extLst>
            <a:ext uri="{FF2B5EF4-FFF2-40B4-BE49-F238E27FC236}">
              <a16:creationId xmlns:a16="http://schemas.microsoft.com/office/drawing/2014/main" id="{9700BB80-72EE-4ACB-8317-2E21E82CDD4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4013" t="18304" r="55733" b="65058"/>
        <a:stretch/>
      </xdr:blipFill>
      <xdr:spPr>
        <a:xfrm>
          <a:off x="4211782" y="51525054"/>
          <a:ext cx="1537854" cy="983673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484910</xdr:colOff>
      <xdr:row>85</xdr:row>
      <xdr:rowOff>124691</xdr:rowOff>
    </xdr:from>
    <xdr:ext cx="2244436" cy="942109"/>
    <xdr:pic>
      <xdr:nvPicPr>
        <xdr:cNvPr id="54" name="image4.jpg">
          <a:extLst>
            <a:ext uri="{FF2B5EF4-FFF2-40B4-BE49-F238E27FC236}">
              <a16:creationId xmlns:a16="http://schemas.microsoft.com/office/drawing/2014/main" id="{0826BE94-5571-4253-B7C0-52B1F1C0F0F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4013" t="1198" r="55733" b="88023"/>
        <a:stretch/>
      </xdr:blipFill>
      <xdr:spPr>
        <a:xfrm>
          <a:off x="15253855" y="51677455"/>
          <a:ext cx="2244436" cy="942109"/>
        </a:xfrm>
        <a:prstGeom prst="rect">
          <a:avLst/>
        </a:prstGeom>
        <a:noFill/>
      </xdr:spPr>
    </xdr:pic>
    <xdr:clientData fLocksWithSheet="0"/>
  </xdr:oneCellAnchor>
  <xdr:twoCellAnchor>
    <xdr:from>
      <xdr:col>13</xdr:col>
      <xdr:colOff>651164</xdr:colOff>
      <xdr:row>80</xdr:row>
      <xdr:rowOff>152400</xdr:rowOff>
    </xdr:from>
    <xdr:to>
      <xdr:col>13</xdr:col>
      <xdr:colOff>1454727</xdr:colOff>
      <xdr:row>83</xdr:row>
      <xdr:rowOff>83128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A542218A-FCE1-41B0-AFA1-5FA1C7DF6489}"/>
            </a:ext>
          </a:extLst>
        </xdr:cNvPr>
        <xdr:cNvSpPr txBox="1"/>
      </xdr:nvSpPr>
      <xdr:spPr>
        <a:xfrm>
          <a:off x="18468109" y="50804618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D: 17</a:t>
          </a:r>
        </a:p>
      </xdr:txBody>
    </xdr:sp>
    <xdr:clientData/>
  </xdr:twoCellAnchor>
  <xdr:twoCellAnchor>
    <xdr:from>
      <xdr:col>13</xdr:col>
      <xdr:colOff>665019</xdr:colOff>
      <xdr:row>85</xdr:row>
      <xdr:rowOff>-1</xdr:rowOff>
    </xdr:from>
    <xdr:to>
      <xdr:col>13</xdr:col>
      <xdr:colOff>1468582</xdr:colOff>
      <xdr:row>87</xdr:row>
      <xdr:rowOff>110836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196E2959-FE66-474C-8E6C-BBEA668EB808}"/>
            </a:ext>
          </a:extLst>
        </xdr:cNvPr>
        <xdr:cNvSpPr txBox="1"/>
      </xdr:nvSpPr>
      <xdr:spPr>
        <a:xfrm>
          <a:off x="18481964" y="51552763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M: 04</a:t>
          </a:r>
        </a:p>
      </xdr:txBody>
    </xdr:sp>
    <xdr:clientData/>
  </xdr:twoCellAnchor>
  <xdr:twoCellAnchor>
    <xdr:from>
      <xdr:col>13</xdr:col>
      <xdr:colOff>665019</xdr:colOff>
      <xdr:row>88</xdr:row>
      <xdr:rowOff>41562</xdr:rowOff>
    </xdr:from>
    <xdr:to>
      <xdr:col>13</xdr:col>
      <xdr:colOff>1468582</xdr:colOff>
      <xdr:row>90</xdr:row>
      <xdr:rowOff>152399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C4D2015F-6BD9-496E-9293-1922CE76B26E}"/>
            </a:ext>
          </a:extLst>
        </xdr:cNvPr>
        <xdr:cNvSpPr txBox="1"/>
      </xdr:nvSpPr>
      <xdr:spPr>
        <a:xfrm>
          <a:off x="18481964" y="52134653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A: 23</a:t>
          </a:r>
        </a:p>
      </xdr:txBody>
    </xdr:sp>
    <xdr:clientData/>
  </xdr:twoCellAnchor>
  <xdr:twoCellAnchor>
    <xdr:from>
      <xdr:col>9</xdr:col>
      <xdr:colOff>1191492</xdr:colOff>
      <xdr:row>85</xdr:row>
      <xdr:rowOff>27708</xdr:rowOff>
    </xdr:from>
    <xdr:to>
      <xdr:col>10</xdr:col>
      <xdr:colOff>471055</xdr:colOff>
      <xdr:row>87</xdr:row>
      <xdr:rowOff>138545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257FB0B3-0CDC-430E-A61E-39BCBCB5469E}"/>
            </a:ext>
          </a:extLst>
        </xdr:cNvPr>
        <xdr:cNvSpPr txBox="1"/>
      </xdr:nvSpPr>
      <xdr:spPr>
        <a:xfrm>
          <a:off x="12912437" y="51580472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M: 04</a:t>
          </a:r>
        </a:p>
      </xdr:txBody>
    </xdr:sp>
    <xdr:clientData/>
  </xdr:twoCellAnchor>
  <xdr:twoCellAnchor>
    <xdr:from>
      <xdr:col>6</xdr:col>
      <xdr:colOff>1177637</xdr:colOff>
      <xdr:row>85</xdr:row>
      <xdr:rowOff>-1</xdr:rowOff>
    </xdr:from>
    <xdr:to>
      <xdr:col>7</xdr:col>
      <xdr:colOff>110836</xdr:colOff>
      <xdr:row>87</xdr:row>
      <xdr:rowOff>110836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DA7805E7-5415-4C29-B55D-D1047FD667FD}"/>
            </a:ext>
          </a:extLst>
        </xdr:cNvPr>
        <xdr:cNvSpPr txBox="1"/>
      </xdr:nvSpPr>
      <xdr:spPr>
        <a:xfrm>
          <a:off x="7356764" y="51552763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M: 04</a:t>
          </a:r>
        </a:p>
      </xdr:txBody>
    </xdr:sp>
    <xdr:clientData/>
  </xdr:twoCellAnchor>
  <xdr:twoCellAnchor>
    <xdr:from>
      <xdr:col>3</xdr:col>
      <xdr:colOff>193964</xdr:colOff>
      <xdr:row>84</xdr:row>
      <xdr:rowOff>124690</xdr:rowOff>
    </xdr:from>
    <xdr:to>
      <xdr:col>4</xdr:col>
      <xdr:colOff>207818</xdr:colOff>
      <xdr:row>87</xdr:row>
      <xdr:rowOff>55418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288E983-54D2-4134-B8CB-0CA388CB54C2}"/>
            </a:ext>
          </a:extLst>
        </xdr:cNvPr>
        <xdr:cNvSpPr txBox="1"/>
      </xdr:nvSpPr>
      <xdr:spPr>
        <a:xfrm>
          <a:off x="3020291" y="51497345"/>
          <a:ext cx="1066800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Firma:</a:t>
          </a:r>
        </a:p>
      </xdr:txBody>
    </xdr:sp>
    <xdr:clientData/>
  </xdr:twoCellAnchor>
  <xdr:twoCellAnchor>
    <xdr:from>
      <xdr:col>7</xdr:col>
      <xdr:colOff>457200</xdr:colOff>
      <xdr:row>84</xdr:row>
      <xdr:rowOff>96981</xdr:rowOff>
    </xdr:from>
    <xdr:to>
      <xdr:col>7</xdr:col>
      <xdr:colOff>1524000</xdr:colOff>
      <xdr:row>87</xdr:row>
      <xdr:rowOff>27709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E60A8D7F-1DC3-4E8E-B5AC-A2A24BE1E968}"/>
            </a:ext>
          </a:extLst>
        </xdr:cNvPr>
        <xdr:cNvSpPr txBox="1"/>
      </xdr:nvSpPr>
      <xdr:spPr>
        <a:xfrm>
          <a:off x="8506691" y="51469636"/>
          <a:ext cx="1066800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Firma:</a:t>
          </a:r>
        </a:p>
      </xdr:txBody>
    </xdr:sp>
    <xdr:clientData/>
  </xdr:twoCellAnchor>
  <xdr:twoCellAnchor>
    <xdr:from>
      <xdr:col>10</xdr:col>
      <xdr:colOff>886692</xdr:colOff>
      <xdr:row>84</xdr:row>
      <xdr:rowOff>96981</xdr:rowOff>
    </xdr:from>
    <xdr:to>
      <xdr:col>11</xdr:col>
      <xdr:colOff>429492</xdr:colOff>
      <xdr:row>87</xdr:row>
      <xdr:rowOff>27709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69B226C0-D3CE-401E-9ABD-629FA90E7F7F}"/>
            </a:ext>
          </a:extLst>
        </xdr:cNvPr>
        <xdr:cNvSpPr txBox="1"/>
      </xdr:nvSpPr>
      <xdr:spPr>
        <a:xfrm>
          <a:off x="14131637" y="51469636"/>
          <a:ext cx="1066800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Firma:</a:t>
          </a:r>
        </a:p>
      </xdr:txBody>
    </xdr:sp>
    <xdr:clientData/>
  </xdr:twoCellAnchor>
  <xdr:twoCellAnchor>
    <xdr:from>
      <xdr:col>6</xdr:col>
      <xdr:colOff>1233055</xdr:colOff>
      <xdr:row>88</xdr:row>
      <xdr:rowOff>96980</xdr:rowOff>
    </xdr:from>
    <xdr:to>
      <xdr:col>7</xdr:col>
      <xdr:colOff>166254</xdr:colOff>
      <xdr:row>91</xdr:row>
      <xdr:rowOff>27708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6AE30570-AAB8-4277-80E8-70CBDEDFBFAE}"/>
            </a:ext>
          </a:extLst>
        </xdr:cNvPr>
        <xdr:cNvSpPr txBox="1"/>
      </xdr:nvSpPr>
      <xdr:spPr>
        <a:xfrm>
          <a:off x="7412182" y="52190071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A: 23</a:t>
          </a:r>
        </a:p>
      </xdr:txBody>
    </xdr:sp>
    <xdr:clientData/>
  </xdr:twoCellAnchor>
  <xdr:twoCellAnchor>
    <xdr:from>
      <xdr:col>9</xdr:col>
      <xdr:colOff>1219201</xdr:colOff>
      <xdr:row>88</xdr:row>
      <xdr:rowOff>69271</xdr:rowOff>
    </xdr:from>
    <xdr:to>
      <xdr:col>10</xdr:col>
      <xdr:colOff>498764</xdr:colOff>
      <xdr:row>90</xdr:row>
      <xdr:rowOff>180108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274B8104-5D98-4FC7-B4EE-48BCDFDD3185}"/>
            </a:ext>
          </a:extLst>
        </xdr:cNvPr>
        <xdr:cNvSpPr txBox="1"/>
      </xdr:nvSpPr>
      <xdr:spPr>
        <a:xfrm>
          <a:off x="12940146" y="52162362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A: 23</a:t>
          </a:r>
        </a:p>
      </xdr:txBody>
    </xdr:sp>
    <xdr:clientData/>
  </xdr:twoCellAnchor>
  <xdr:twoCellAnchor>
    <xdr:from>
      <xdr:col>9</xdr:col>
      <xdr:colOff>1246909</xdr:colOff>
      <xdr:row>81</xdr:row>
      <xdr:rowOff>27709</xdr:rowOff>
    </xdr:from>
    <xdr:to>
      <xdr:col>10</xdr:col>
      <xdr:colOff>526472</xdr:colOff>
      <xdr:row>83</xdr:row>
      <xdr:rowOff>138546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85694FCA-4253-4289-BE1A-E67BF0A8309D}"/>
            </a:ext>
          </a:extLst>
        </xdr:cNvPr>
        <xdr:cNvSpPr txBox="1"/>
      </xdr:nvSpPr>
      <xdr:spPr>
        <a:xfrm>
          <a:off x="12967854" y="50860036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D: 17</a:t>
          </a:r>
        </a:p>
      </xdr:txBody>
    </xdr:sp>
    <xdr:clientData/>
  </xdr:twoCellAnchor>
  <xdr:twoCellAnchor>
    <xdr:from>
      <xdr:col>6</xdr:col>
      <xdr:colOff>1233055</xdr:colOff>
      <xdr:row>81</xdr:row>
      <xdr:rowOff>27709</xdr:rowOff>
    </xdr:from>
    <xdr:to>
      <xdr:col>7</xdr:col>
      <xdr:colOff>166254</xdr:colOff>
      <xdr:row>83</xdr:row>
      <xdr:rowOff>138546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FD28E15E-FF8A-4378-87C1-789F669B49FE}"/>
            </a:ext>
          </a:extLst>
        </xdr:cNvPr>
        <xdr:cNvSpPr txBox="1"/>
      </xdr:nvSpPr>
      <xdr:spPr>
        <a:xfrm>
          <a:off x="7412182" y="50860036"/>
          <a:ext cx="803563" cy="47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PE" sz="2000"/>
            <a:t>D: 17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825875" y="133350"/>
          <a:ext cx="10096500" cy="790575"/>
          <a:chOff x="297750" y="3384713"/>
          <a:chExt cx="10096500" cy="790575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" name="Shape 55">
              <a:extLst>
                <a:ext uri="{FF2B5EF4-FFF2-40B4-BE49-F238E27FC236}">
                  <a16:creationId xmlns:a16="http://schemas.microsoft.com/office/drawing/2014/main" id="{00000000-0008-0000-0200-000037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56" name="Shape 56">
                <a:extLst>
                  <a:ext uri="{FF2B5EF4-FFF2-40B4-BE49-F238E27FC236}">
                    <a16:creationId xmlns:a16="http://schemas.microsoft.com/office/drawing/2014/main" id="{00000000-0008-0000-0200-000038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" name="Shape 57">
                <a:extLst>
                  <a:ext uri="{FF2B5EF4-FFF2-40B4-BE49-F238E27FC236}">
                    <a16:creationId xmlns:a16="http://schemas.microsoft.com/office/drawing/2014/main" id="{00000000-0008-0000-0200-000039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58" name="Shape 58">
                  <a:extLst>
                    <a:ext uri="{FF2B5EF4-FFF2-40B4-BE49-F238E27FC236}">
                      <a16:creationId xmlns:a16="http://schemas.microsoft.com/office/drawing/2014/main" id="{00000000-0008-0000-0200-00003A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" name="Shape 59">
                  <a:extLst>
                    <a:ext uri="{FF2B5EF4-FFF2-40B4-BE49-F238E27FC236}">
                      <a16:creationId xmlns:a16="http://schemas.microsoft.com/office/drawing/2014/main" id="{00000000-0008-0000-0200-00003B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60" name="Shape 60">
                    <a:extLst>
                      <a:ext uri="{FF2B5EF4-FFF2-40B4-BE49-F238E27FC236}">
                        <a16:creationId xmlns:a16="http://schemas.microsoft.com/office/drawing/2014/main" id="{00000000-0008-0000-0200-00003C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1" name="Shape 61" title="Dibujo">
                    <a:extLst>
                      <a:ext uri="{FF2B5EF4-FFF2-40B4-BE49-F238E27FC236}">
                        <a16:creationId xmlns:a16="http://schemas.microsoft.com/office/drawing/2014/main" id="{00000000-0008-0000-0200-00003D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62" name="Shape 62">
                      <a:extLst>
                        <a:ext uri="{FF2B5EF4-FFF2-40B4-BE49-F238E27FC236}">
                          <a16:creationId xmlns:a16="http://schemas.microsoft.com/office/drawing/2014/main" id="{00000000-0008-0000-0200-00003E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3" name="Shape 63">
                      <a:extLst>
                        <a:ext uri="{FF2B5EF4-FFF2-40B4-BE49-F238E27FC236}">
                          <a16:creationId xmlns:a16="http://schemas.microsoft.com/office/drawing/2014/main" id="{00000000-0008-0000-0200-00003F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64" name="Shape 64">
                        <a:extLst>
                          <a:ext uri="{FF2B5EF4-FFF2-40B4-BE49-F238E27FC236}">
                            <a16:creationId xmlns:a16="http://schemas.microsoft.com/office/drawing/2014/main" id="{00000000-0008-0000-0200-00004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5" name="Shape 65">
                        <a:extLst>
                          <a:ext uri="{FF2B5EF4-FFF2-40B4-BE49-F238E27FC236}">
                            <a16:creationId xmlns:a16="http://schemas.microsoft.com/office/drawing/2014/main" id="{00000000-0008-0000-0200-00004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66" name="Shape 66">
                          <a:extLst>
                            <a:ext uri="{FF2B5EF4-FFF2-40B4-BE49-F238E27FC236}">
                              <a16:creationId xmlns:a16="http://schemas.microsoft.com/office/drawing/2014/main" id="{00000000-0008-0000-0200-000042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67" name="Shape 67">
                          <a:extLst>
                            <a:ext uri="{FF2B5EF4-FFF2-40B4-BE49-F238E27FC236}">
                              <a16:creationId xmlns:a16="http://schemas.microsoft.com/office/drawing/2014/main" id="{00000000-0008-0000-0200-000043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68" name="Shape 68">
                          <a:extLst>
                            <a:ext uri="{FF2B5EF4-FFF2-40B4-BE49-F238E27FC236}">
                              <a16:creationId xmlns:a16="http://schemas.microsoft.com/office/drawing/2014/main" id="{00000000-0008-0000-0200-000044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69" name="Shape 69">
                          <a:extLst>
                            <a:ext uri="{FF2B5EF4-FFF2-40B4-BE49-F238E27FC236}">
                              <a16:creationId xmlns:a16="http://schemas.microsoft.com/office/drawing/2014/main" id="{00000000-0008-0000-0200-00004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70" name="Shape 70">
                          <a:extLst>
                            <a:ext uri="{FF2B5EF4-FFF2-40B4-BE49-F238E27FC236}">
                              <a16:creationId xmlns:a16="http://schemas.microsoft.com/office/drawing/2014/main" id="{00000000-0008-0000-0200-00004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71" name="Shape 71">
                          <a:extLst>
                            <a:ext uri="{FF2B5EF4-FFF2-40B4-BE49-F238E27FC236}">
                              <a16:creationId xmlns:a16="http://schemas.microsoft.com/office/drawing/2014/main" id="{00000000-0008-0000-0200-000047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72" name="Shape 72">
                          <a:extLst>
                            <a:ext uri="{FF2B5EF4-FFF2-40B4-BE49-F238E27FC236}">
                              <a16:creationId xmlns:a16="http://schemas.microsoft.com/office/drawing/2014/main" id="{00000000-0008-0000-0200-000048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3" name="Shape 73">
                          <a:extLst>
                            <a:ext uri="{FF2B5EF4-FFF2-40B4-BE49-F238E27FC236}">
                              <a16:creationId xmlns:a16="http://schemas.microsoft.com/office/drawing/2014/main" id="{00000000-0008-0000-0200-00004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4" name="Shape 74">
                          <a:extLst>
                            <a:ext uri="{FF2B5EF4-FFF2-40B4-BE49-F238E27FC236}">
                              <a16:creationId xmlns:a16="http://schemas.microsoft.com/office/drawing/2014/main" id="{00000000-0008-0000-0200-00004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5" name="Shape 75">
                          <a:extLst>
                            <a:ext uri="{FF2B5EF4-FFF2-40B4-BE49-F238E27FC236}">
                              <a16:creationId xmlns:a16="http://schemas.microsoft.com/office/drawing/2014/main" id="{00000000-0008-0000-0200-00004B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6" name="Shape 76">
                          <a:extLst>
                            <a:ext uri="{FF2B5EF4-FFF2-40B4-BE49-F238E27FC236}">
                              <a16:creationId xmlns:a16="http://schemas.microsoft.com/office/drawing/2014/main" id="{00000000-0008-0000-0200-00004C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77" name="Shape 77">
                          <a:extLst>
                            <a:ext uri="{FF2B5EF4-FFF2-40B4-BE49-F238E27FC236}">
                              <a16:creationId xmlns:a16="http://schemas.microsoft.com/office/drawing/2014/main" id="{00000000-0008-0000-0200-00004D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78" name="Shape 78">
                          <a:extLst>
                            <a:ext uri="{FF2B5EF4-FFF2-40B4-BE49-F238E27FC236}">
                              <a16:creationId xmlns:a16="http://schemas.microsoft.com/office/drawing/2014/main" id="{00000000-0008-0000-0200-00004E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2305050</xdr:colOff>
      <xdr:row>35</xdr:row>
      <xdr:rowOff>57150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40</xdr:row>
      <xdr:rowOff>152400</xdr:rowOff>
    </xdr:from>
    <xdr:ext cx="6781800" cy="485775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45</xdr:row>
      <xdr:rowOff>95250</xdr:rowOff>
    </xdr:from>
    <xdr:ext cx="1809750" cy="809625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45</xdr:row>
      <xdr:rowOff>104775</xdr:rowOff>
    </xdr:from>
    <xdr:ext cx="1466850" cy="914400"/>
    <xdr:pic>
      <xdr:nvPicPr>
        <xdr:cNvPr id="7" name="image4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39</xdr:row>
      <xdr:rowOff>0</xdr:rowOff>
    </xdr:from>
    <xdr:to>
      <xdr:col>12</xdr:col>
      <xdr:colOff>310445</xdr:colOff>
      <xdr:row>54</xdr:row>
      <xdr:rowOff>86359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D5A7EB-F14F-A631-6F33-6D73C15D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2778" y="18259778"/>
          <a:ext cx="14463889" cy="24146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965575" y="133350"/>
          <a:ext cx="10096500" cy="790575"/>
          <a:chOff x="297750" y="3384713"/>
          <a:chExt cx="10096500" cy="7905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300-00004F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81" name="Shape 81">
                <a:extLst>
                  <a:ext uri="{FF2B5EF4-FFF2-40B4-BE49-F238E27FC236}">
                    <a16:creationId xmlns:a16="http://schemas.microsoft.com/office/drawing/2014/main" id="{00000000-0008-0000-0300-000051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" name="Shape 82">
                <a:extLst>
                  <a:ext uri="{FF2B5EF4-FFF2-40B4-BE49-F238E27FC236}">
                    <a16:creationId xmlns:a16="http://schemas.microsoft.com/office/drawing/2014/main" id="{00000000-0008-0000-0300-000052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3" name="Shape 83">
                  <a:extLst>
                    <a:ext uri="{FF2B5EF4-FFF2-40B4-BE49-F238E27FC236}">
                      <a16:creationId xmlns:a16="http://schemas.microsoft.com/office/drawing/2014/main" id="{00000000-0008-0000-0300-000053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" name="Shape 84">
                  <a:extLst>
                    <a:ext uri="{FF2B5EF4-FFF2-40B4-BE49-F238E27FC236}">
                      <a16:creationId xmlns:a16="http://schemas.microsoft.com/office/drawing/2014/main" id="{00000000-0008-0000-0300-000054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85" name="Shape 85">
                    <a:extLst>
                      <a:ext uri="{FF2B5EF4-FFF2-40B4-BE49-F238E27FC236}">
                        <a16:creationId xmlns:a16="http://schemas.microsoft.com/office/drawing/2014/main" id="{00000000-0008-0000-0300-000055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" name="Shape 86" title="Dibujo">
                    <a:extLst>
                      <a:ext uri="{FF2B5EF4-FFF2-40B4-BE49-F238E27FC236}">
                        <a16:creationId xmlns:a16="http://schemas.microsoft.com/office/drawing/2014/main" id="{00000000-0008-0000-0300-000056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87" name="Shape 87">
                      <a:extLst>
                        <a:ext uri="{FF2B5EF4-FFF2-40B4-BE49-F238E27FC236}">
                          <a16:creationId xmlns:a16="http://schemas.microsoft.com/office/drawing/2014/main" id="{00000000-0008-0000-0300-000057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8" name="Shape 88">
                      <a:extLst>
                        <a:ext uri="{FF2B5EF4-FFF2-40B4-BE49-F238E27FC236}">
                          <a16:creationId xmlns:a16="http://schemas.microsoft.com/office/drawing/2014/main" id="{00000000-0008-0000-0300-000058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89" name="Shape 89">
                        <a:extLst>
                          <a:ext uri="{FF2B5EF4-FFF2-40B4-BE49-F238E27FC236}">
                            <a16:creationId xmlns:a16="http://schemas.microsoft.com/office/drawing/2014/main" id="{00000000-0008-0000-0300-000059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" name="Shape 90">
                        <a:extLst>
                          <a:ext uri="{FF2B5EF4-FFF2-40B4-BE49-F238E27FC236}">
                            <a16:creationId xmlns:a16="http://schemas.microsoft.com/office/drawing/2014/main" id="{00000000-0008-0000-0300-00005A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91" name="Shape 91">
                          <a:extLst>
                            <a:ext uri="{FF2B5EF4-FFF2-40B4-BE49-F238E27FC236}">
                              <a16:creationId xmlns:a16="http://schemas.microsoft.com/office/drawing/2014/main" id="{00000000-0008-0000-0300-00005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92" name="Shape 92">
                          <a:extLst>
                            <a:ext uri="{FF2B5EF4-FFF2-40B4-BE49-F238E27FC236}">
                              <a16:creationId xmlns:a16="http://schemas.microsoft.com/office/drawing/2014/main" id="{00000000-0008-0000-0300-00005C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93" name="Shape 93">
                          <a:extLst>
                            <a:ext uri="{FF2B5EF4-FFF2-40B4-BE49-F238E27FC236}">
                              <a16:creationId xmlns:a16="http://schemas.microsoft.com/office/drawing/2014/main" id="{00000000-0008-0000-0300-00005D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94" name="Shape 94">
                          <a:extLst>
                            <a:ext uri="{FF2B5EF4-FFF2-40B4-BE49-F238E27FC236}">
                              <a16:creationId xmlns:a16="http://schemas.microsoft.com/office/drawing/2014/main" id="{00000000-0008-0000-0300-00005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95" name="Shape 95">
                          <a:extLst>
                            <a:ext uri="{FF2B5EF4-FFF2-40B4-BE49-F238E27FC236}">
                              <a16:creationId xmlns:a16="http://schemas.microsoft.com/office/drawing/2014/main" id="{00000000-0008-0000-0300-00005F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96" name="Shape 96">
                          <a:extLst>
                            <a:ext uri="{FF2B5EF4-FFF2-40B4-BE49-F238E27FC236}">
                              <a16:creationId xmlns:a16="http://schemas.microsoft.com/office/drawing/2014/main" id="{00000000-0008-0000-0300-00006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97" name="Shape 97">
                          <a:extLst>
                            <a:ext uri="{FF2B5EF4-FFF2-40B4-BE49-F238E27FC236}">
                              <a16:creationId xmlns:a16="http://schemas.microsoft.com/office/drawing/2014/main" id="{00000000-0008-0000-0300-000061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98" name="Shape 98">
                          <a:extLst>
                            <a:ext uri="{FF2B5EF4-FFF2-40B4-BE49-F238E27FC236}">
                              <a16:creationId xmlns:a16="http://schemas.microsoft.com/office/drawing/2014/main" id="{00000000-0008-0000-0300-000062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99" name="Shape 99">
                          <a:extLst>
                            <a:ext uri="{FF2B5EF4-FFF2-40B4-BE49-F238E27FC236}">
                              <a16:creationId xmlns:a16="http://schemas.microsoft.com/office/drawing/2014/main" id="{00000000-0008-0000-0300-000063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100" name="Shape 100">
                          <a:extLst>
                            <a:ext uri="{FF2B5EF4-FFF2-40B4-BE49-F238E27FC236}">
                              <a16:creationId xmlns:a16="http://schemas.microsoft.com/office/drawing/2014/main" id="{00000000-0008-0000-0300-000064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101" name="Shape 101">
                          <a:extLst>
                            <a:ext uri="{FF2B5EF4-FFF2-40B4-BE49-F238E27FC236}">
                              <a16:creationId xmlns:a16="http://schemas.microsoft.com/office/drawing/2014/main" id="{00000000-0008-0000-0300-000065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003386" y="798381"/>
                          <a:ext cx="1530569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102" name="Shape 102">
                          <a:extLst>
                            <a:ext uri="{FF2B5EF4-FFF2-40B4-BE49-F238E27FC236}">
                              <a16:creationId xmlns:a16="http://schemas.microsoft.com/office/drawing/2014/main" id="{00000000-0008-0000-0300-00006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103" name="Shape 103">
                          <a:extLst>
                            <a:ext uri="{FF2B5EF4-FFF2-40B4-BE49-F238E27FC236}">
                              <a16:creationId xmlns:a16="http://schemas.microsoft.com/office/drawing/2014/main" id="{00000000-0008-0000-0300-00006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457200</xdr:colOff>
      <xdr:row>23</xdr:row>
      <xdr:rowOff>95250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31</xdr:row>
      <xdr:rowOff>95250</xdr:rowOff>
    </xdr:from>
    <xdr:ext cx="1809750" cy="809625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0</xdr:colOff>
      <xdr:row>25</xdr:row>
      <xdr:rowOff>0</xdr:rowOff>
    </xdr:from>
    <xdr:to>
      <xdr:col>15</xdr:col>
      <xdr:colOff>96981</xdr:colOff>
      <xdr:row>37</xdr:row>
      <xdr:rowOff>123621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1F5E567-99AE-E813-2474-162D99DA1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0982" y="10861964"/>
          <a:ext cx="12690763" cy="2118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825875" y="133350"/>
          <a:ext cx="10096500" cy="790575"/>
          <a:chOff x="297750" y="3384713"/>
          <a:chExt cx="10096500" cy="7905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 title="Dibujo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18" name="Shape 18">
                          <a:extLst>
                            <a:ext uri="{FF2B5EF4-FFF2-40B4-BE49-F238E27FC236}">
                              <a16:creationId xmlns:a16="http://schemas.microsoft.com/office/drawing/2014/main" id="{00000000-0008-0000-0000-000012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19" name="Shape 19">
                          <a:extLst>
                            <a:ext uri="{FF2B5EF4-FFF2-40B4-BE49-F238E27FC236}">
                              <a16:creationId xmlns:a16="http://schemas.microsoft.com/office/drawing/2014/main" id="{00000000-0008-0000-0000-00001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0" name="Shape 20">
                          <a:extLst>
                            <a:ext uri="{FF2B5EF4-FFF2-40B4-BE49-F238E27FC236}">
                              <a16:creationId xmlns:a16="http://schemas.microsoft.com/office/drawing/2014/main" id="{00000000-0008-0000-0000-00001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1" name="Shape 21">
                          <a:extLst>
                            <a:ext uri="{FF2B5EF4-FFF2-40B4-BE49-F238E27FC236}">
                              <a16:creationId xmlns:a16="http://schemas.microsoft.com/office/drawing/2014/main" id="{00000000-0008-0000-0000-000015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000-00001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000-000017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000-000018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5" name="Shape 25">
                          <a:extLst>
                            <a:ext uri="{FF2B5EF4-FFF2-40B4-BE49-F238E27FC236}">
                              <a16:creationId xmlns:a16="http://schemas.microsoft.com/office/drawing/2014/main" id="{00000000-0008-0000-0000-00001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6" name="Shape 26">
                          <a:extLst>
                            <a:ext uri="{FF2B5EF4-FFF2-40B4-BE49-F238E27FC236}">
                              <a16:creationId xmlns:a16="http://schemas.microsoft.com/office/drawing/2014/main" id="{00000000-0008-0000-0000-00001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04/02/2023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27" name="Shape 27">
                          <a:extLst>
                            <a:ext uri="{FF2B5EF4-FFF2-40B4-BE49-F238E27FC236}">
                              <a16:creationId xmlns:a16="http://schemas.microsoft.com/office/drawing/2014/main" id="{00000000-0008-0000-0000-00001B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28" name="Shape 28">
                          <a:extLst>
                            <a:ext uri="{FF2B5EF4-FFF2-40B4-BE49-F238E27FC236}">
                              <a16:creationId xmlns:a16="http://schemas.microsoft.com/office/drawing/2014/main" id="{00000000-0008-0000-0000-00001C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1905000</xdr:colOff>
      <xdr:row>23</xdr:row>
      <xdr:rowOff>95250</xdr:rowOff>
    </xdr:from>
    <xdr:ext cx="9829800" cy="3867150"/>
    <xdr:pic>
      <xdr:nvPicPr>
        <xdr:cNvPr id="29" name="image5.jpg" title="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1333500</xdr:colOff>
      <xdr:row>29</xdr:row>
      <xdr:rowOff>95250</xdr:rowOff>
    </xdr:from>
    <xdr:ext cx="1809750" cy="809625"/>
    <xdr:pic>
      <xdr:nvPicPr>
        <xdr:cNvPr id="31" name="image1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0</xdr:colOff>
      <xdr:row>28</xdr:row>
      <xdr:rowOff>0</xdr:rowOff>
    </xdr:from>
    <xdr:to>
      <xdr:col>17</xdr:col>
      <xdr:colOff>2520731</xdr:colOff>
      <xdr:row>48</xdr:row>
      <xdr:rowOff>133350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CC834A23-F7C7-622C-7E20-3A07D2BC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13068300"/>
          <a:ext cx="19056131" cy="31813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0</xdr:row>
      <xdr:rowOff>133350</xdr:rowOff>
    </xdr:from>
    <xdr:ext cx="10096500" cy="790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825875" y="133350"/>
          <a:ext cx="10096500" cy="790575"/>
          <a:chOff x="297750" y="3384713"/>
          <a:chExt cx="10096500" cy="79057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GrpSpPr/>
        </xdr:nvGrpSpPr>
        <xdr:grpSpPr>
          <a:xfrm>
            <a:off x="297750" y="3384713"/>
            <a:ext cx="10096500" cy="790575"/>
            <a:chOff x="297750" y="3384713"/>
            <a:chExt cx="10096500" cy="790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" name="Shape 30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297750" y="3384713"/>
              <a:ext cx="10096500" cy="790575"/>
              <a:chOff x="297750" y="3384713"/>
              <a:chExt cx="10096500" cy="790575"/>
            </a:xfrm>
          </xdr:grpSpPr>
          <xdr:sp macro="" textlink="">
            <xdr:nvSpPr>
              <xdr:cNvPr id="31" name="Shape 31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" name="Shape 32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GrpSpPr/>
            </xdr:nvGrpSpPr>
            <xdr:grpSpPr>
              <a:xfrm>
                <a:off x="297750" y="3384713"/>
                <a:ext cx="10096500" cy="790575"/>
                <a:chOff x="297750" y="3384713"/>
                <a:chExt cx="10096500" cy="790575"/>
              </a:xfrm>
            </xdr:grpSpPr>
            <xdr:sp macro="" textlink="">
              <xdr:nvSpPr>
                <xdr:cNvPr id="33" name="Shape 33">
                  <a:extLst>
                    <a:ext uri="{FF2B5EF4-FFF2-40B4-BE49-F238E27FC236}">
                      <a16:creationId xmlns:a16="http://schemas.microsoft.com/office/drawing/2014/main" id="{00000000-0008-0000-0100-000021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" name="Shape 34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GrpSpPr/>
              </xdr:nvGrpSpPr>
              <xdr:grpSpPr>
                <a:xfrm>
                  <a:off x="297750" y="3384713"/>
                  <a:ext cx="10096500" cy="790575"/>
                  <a:chOff x="169163" y="3213263"/>
                  <a:chExt cx="10353676" cy="1133475"/>
                </a:xfrm>
              </xdr:grpSpPr>
              <xdr:sp macro="" textlink="">
                <xdr:nvSpPr>
                  <xdr:cNvPr id="35" name="Shape 35">
                    <a:extLst>
                      <a:ext uri="{FF2B5EF4-FFF2-40B4-BE49-F238E27FC236}">
                        <a16:creationId xmlns:a16="http://schemas.microsoft.com/office/drawing/2014/main" id="{00000000-0008-0000-0100-000023000000}"/>
                      </a:ext>
                    </a:extLst>
                  </xdr:cNvPr>
                  <xdr:cNvSpPr/>
                </xdr:nvSpPr>
                <xdr:spPr>
                  <a:xfrm>
                    <a:off x="169163" y="3213263"/>
                    <a:ext cx="103536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6" name="Shape 36" title="Dibujo">
                    <a:extLst>
                      <a:ext uri="{FF2B5EF4-FFF2-40B4-BE49-F238E27FC236}">
                        <a16:creationId xmlns:a16="http://schemas.microsoft.com/office/drawing/2014/main" id="{00000000-0008-0000-0100-000024000000}"/>
                      </a:ext>
                    </a:extLst>
                  </xdr:cNvPr>
                  <xdr:cNvGrpSpPr/>
                </xdr:nvGrpSpPr>
                <xdr:grpSpPr>
                  <a:xfrm>
                    <a:off x="169163" y="3213263"/>
                    <a:ext cx="10353676" cy="1133475"/>
                    <a:chOff x="169163" y="3213263"/>
                    <a:chExt cx="10353677" cy="1133475"/>
                  </a:xfrm>
                </xdr:grpSpPr>
                <xdr:sp macro="" textlink="">
                  <xdr:nvSpPr>
                    <xdr:cNvPr id="37" name="Shape 37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" name="Shape 38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GrpSpPr/>
                  </xdr:nvGrpSpPr>
                  <xdr:grpSpPr>
                    <a:xfrm>
                      <a:off x="169163" y="3213263"/>
                      <a:ext cx="10353677" cy="1133475"/>
                      <a:chOff x="169163" y="3213263"/>
                      <a:chExt cx="10353674" cy="1133475"/>
                    </a:xfrm>
                  </xdr:grpSpPr>
                  <xdr:sp macro="" textlink="">
                    <xdr:nvSpPr>
                      <xdr:cNvPr id="39" name="Shape 39">
                        <a:extLst>
                          <a:ext uri="{FF2B5EF4-FFF2-40B4-BE49-F238E27FC236}">
                            <a16:creationId xmlns:a16="http://schemas.microsoft.com/office/drawing/2014/main" id="{00000000-0008-0000-0100-000027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50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" name="Shape 40">
                        <a:extLst>
                          <a:ext uri="{FF2B5EF4-FFF2-40B4-BE49-F238E27FC236}">
                            <a16:creationId xmlns:a16="http://schemas.microsoft.com/office/drawing/2014/main" id="{00000000-0008-0000-0100-000028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9163" y="3213263"/>
                        <a:ext cx="10353674" cy="1133475"/>
                        <a:chOff x="-2202489" y="-123353"/>
                        <a:chExt cx="9821161" cy="1317511"/>
                      </a:xfrm>
                    </xdr:grpSpPr>
                    <xdr:sp macro="" textlink="">
                      <xdr:nvSpPr>
                        <xdr:cNvPr id="41" name="Shape 41">
                          <a:extLst>
                            <a:ext uri="{FF2B5EF4-FFF2-40B4-BE49-F238E27FC236}">
                              <a16:creationId xmlns:a16="http://schemas.microsoft.com/office/drawing/2014/main" id="{00000000-0008-0000-0100-000029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202489" y="-123353"/>
                          <a:ext cx="9821150" cy="131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42" name="Shape 42">
                          <a:extLst>
                            <a:ext uri="{FF2B5EF4-FFF2-40B4-BE49-F238E27FC236}">
                              <a16:creationId xmlns:a16="http://schemas.microsoft.com/office/drawing/2014/main" id="{00000000-0008-0000-0100-00002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9570" y="26275"/>
                          <a:ext cx="1530569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PD-DOC-013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cxnSp macro="">
                      <xdr:nvCxnSpPr>
                        <xdr:cNvPr id="43" name="Shape 43">
                          <a:extLst>
                            <a:ext uri="{FF2B5EF4-FFF2-40B4-BE49-F238E27FC236}">
                              <a16:creationId xmlns:a16="http://schemas.microsoft.com/office/drawing/2014/main" id="{00000000-0008-0000-0100-00002B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0" y="1194158"/>
                          <a:ext cx="7603434" cy="0"/>
                        </a:xfrm>
                        <a:prstGeom prst="straightConnector1">
                          <a:avLst/>
                        </a:prstGeom>
                        <a:noFill/>
                        <a:ln w="381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44" name="Shape 44">
                          <a:extLst>
                            <a:ext uri="{FF2B5EF4-FFF2-40B4-BE49-F238E27FC236}">
                              <a16:creationId xmlns:a16="http://schemas.microsoft.com/office/drawing/2014/main" id="{00000000-0008-0000-0100-00002C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0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45" name="Shape 45">
                          <a:extLst>
                            <a:ext uri="{FF2B5EF4-FFF2-40B4-BE49-F238E27FC236}">
                              <a16:creationId xmlns:a16="http://schemas.microsoft.com/office/drawing/2014/main" id="{00000000-0008-0000-0100-00002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386053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46" name="Shape 46">
                          <a:extLst>
                            <a:ext uri="{FF2B5EF4-FFF2-40B4-BE49-F238E27FC236}">
                              <a16:creationId xmlns:a16="http://schemas.microsoft.com/office/drawing/2014/main" id="{00000000-0008-0000-0100-00002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0793" y="772107"/>
                          <a:ext cx="2607879" cy="340069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  <xdr:sp macro="" textlink="">
                      <xdr:nvSpPr>
                        <xdr:cNvPr id="47" name="Shape 47">
                          <a:extLst>
                            <a:ext uri="{FF2B5EF4-FFF2-40B4-BE49-F238E27FC236}">
                              <a16:creationId xmlns:a16="http://schemas.microsoft.com/office/drawing/2014/main" id="{00000000-0008-0000-0100-00002F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83053" y="19706"/>
                          <a:ext cx="729155" cy="2948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Código: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48" name="Shape 48">
                          <a:extLst>
                            <a:ext uri="{FF2B5EF4-FFF2-40B4-BE49-F238E27FC236}">
                              <a16:creationId xmlns:a16="http://schemas.microsoft.com/office/drawing/2014/main" id="{00000000-0008-0000-0100-000030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56777" y="405759"/>
                          <a:ext cx="775138" cy="29872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Versión: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49" name="Shape 49">
                          <a:extLst>
                            <a:ext uri="{FF2B5EF4-FFF2-40B4-BE49-F238E27FC236}">
                              <a16:creationId xmlns:a16="http://schemas.microsoft.com/office/drawing/2014/main" id="{00000000-0008-0000-0100-000031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063347" y="791113"/>
                          <a:ext cx="913086" cy="294086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F. Aprob.: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50" name="Shape 50">
                          <a:extLst>
                            <a:ext uri="{FF2B5EF4-FFF2-40B4-BE49-F238E27FC236}">
                              <a16:creationId xmlns:a16="http://schemas.microsoft.com/office/drawing/2014/main" id="{00000000-0008-0000-0100-000032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83001" y="418897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003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51" name="Shape 51">
                          <a:extLst>
                            <a:ext uri="{FF2B5EF4-FFF2-40B4-BE49-F238E27FC236}">
                              <a16:creationId xmlns:a16="http://schemas.microsoft.com/office/drawing/2014/main" id="{00000000-0008-0000-0100-000033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76432" y="798381"/>
                          <a:ext cx="1530569" cy="29408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000"/>
                            <a:buFont typeface="Arial"/>
                            <a:buNone/>
                          </a:pPr>
                          <a:r>
                            <a:rPr lang="en-US" sz="1000">
                              <a:solidFill>
                                <a:srgbClr val="000000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17/04/2023</a:t>
                          </a:r>
                          <a:endParaRPr sz="1100">
                            <a:latin typeface="Century Gothic"/>
                            <a:ea typeface="Century Gothic"/>
                            <a:cs typeface="Century Gothic"/>
                            <a:sym typeface="Century Gothic"/>
                          </a:endParaRPr>
                        </a:p>
                      </xdr:txBody>
                    </xdr:sp>
                    <xdr:sp macro="" textlink="">
                      <xdr:nvSpPr>
                        <xdr:cNvPr id="52" name="Shape 52">
                          <a:extLst>
                            <a:ext uri="{FF2B5EF4-FFF2-40B4-BE49-F238E27FC236}">
                              <a16:creationId xmlns:a16="http://schemas.microsoft.com/office/drawing/2014/main" id="{00000000-0008-0000-0100-000034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0513" y="11979"/>
                          <a:ext cx="3916184" cy="1099037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3200"/>
                            <a:buFont typeface="Calibri"/>
                            <a:buNone/>
                          </a:pPr>
                          <a:r>
                            <a:rPr lang="en-US" sz="3200" b="1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MATRIZ IPERC  </a:t>
                          </a:r>
                          <a:endParaRPr sz="4000"/>
                        </a:p>
                      </xdr:txBody>
                    </xdr:sp>
                    <xdr:pic>
                      <xdr:nvPicPr>
                        <xdr:cNvPr id="53" name="Shape 53">
                          <a:extLst>
                            <a:ext uri="{FF2B5EF4-FFF2-40B4-BE49-F238E27FC236}">
                              <a16:creationId xmlns:a16="http://schemas.microsoft.com/office/drawing/2014/main" id="{00000000-0008-0000-0100-000035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-2202489" y="-123353"/>
                          <a:ext cx="2244708" cy="118394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2305050</xdr:colOff>
      <xdr:row>31</xdr:row>
      <xdr:rowOff>57150</xdr:rowOff>
    </xdr:from>
    <xdr:ext cx="9829800" cy="3867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41</xdr:row>
      <xdr:rowOff>104775</xdr:rowOff>
    </xdr:from>
    <xdr:ext cx="1466850" cy="914400"/>
    <xdr:pic>
      <xdr:nvPicPr>
        <xdr:cNvPr id="7" name="image4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868948</xdr:colOff>
      <xdr:row>34</xdr:row>
      <xdr:rowOff>66843</xdr:rowOff>
    </xdr:from>
    <xdr:to>
      <xdr:col>15</xdr:col>
      <xdr:colOff>302857</xdr:colOff>
      <xdr:row>50</xdr:row>
      <xdr:rowOff>139564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20605A1-F169-BD24-451D-10AC9579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9895" y="20012527"/>
          <a:ext cx="15810225" cy="26394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819775" cy="203835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905500" cy="35528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B9-C814-4816-9CC8-E8F9A227FE31}">
  <dimension ref="A1:AJ74"/>
  <sheetViews>
    <sheetView showGridLines="0" tabSelected="1" topLeftCell="C1" zoomScale="60" zoomScaleNormal="60" workbookViewId="0">
      <selection activeCell="I13" sqref="I13"/>
    </sheetView>
  </sheetViews>
  <sheetFormatPr baseColWidth="10" defaultColWidth="22.21875" defaultRowHeight="14.4" x14ac:dyDescent="0.3"/>
  <cols>
    <col min="1" max="1" width="10.44140625" style="63" customWidth="1"/>
    <col min="2" max="4" width="15.44140625" style="63" customWidth="1"/>
    <col min="5" max="6" width="16.6640625" style="63" customWidth="1"/>
    <col min="7" max="7" width="27.33203125" style="63" customWidth="1"/>
    <col min="8" max="8" width="31.33203125" style="63" customWidth="1"/>
    <col min="9" max="16384" width="22.21875" style="63"/>
  </cols>
  <sheetData>
    <row r="1" spans="1:36" ht="12.75" customHeight="1" x14ac:dyDescent="0.3">
      <c r="A1" s="1"/>
      <c r="B1" s="1"/>
      <c r="C1" s="59"/>
      <c r="D1" s="60"/>
      <c r="E1" s="61"/>
      <c r="F1" s="61"/>
      <c r="G1" s="1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</row>
    <row r="2" spans="1:36" ht="12.75" customHeight="1" x14ac:dyDescent="0.3">
      <c r="A2" s="1"/>
      <c r="B2" s="1"/>
      <c r="C2" s="59"/>
      <c r="D2" s="60"/>
      <c r="E2" s="61"/>
      <c r="F2" s="61"/>
      <c r="G2" s="1"/>
      <c r="H2" s="5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</row>
    <row r="3" spans="1:36" ht="7.5" customHeight="1" x14ac:dyDescent="0.3">
      <c r="A3" s="1"/>
      <c r="B3" s="1"/>
      <c r="C3" s="59"/>
      <c r="D3" s="60"/>
      <c r="E3" s="61"/>
      <c r="F3" s="61"/>
      <c r="G3" s="1"/>
      <c r="H3" s="5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</row>
    <row r="4" spans="1:36" ht="12.75" customHeight="1" x14ac:dyDescent="0.4">
      <c r="A4" s="64"/>
      <c r="B4" s="64"/>
      <c r="C4" s="64"/>
      <c r="D4" s="64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6"/>
      <c r="S4" s="66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</row>
    <row r="5" spans="1:36" ht="12.75" customHeight="1" x14ac:dyDescent="0.4">
      <c r="A5" s="64"/>
      <c r="B5" s="64"/>
      <c r="C5" s="64"/>
      <c r="D5" s="64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6"/>
      <c r="S5" s="66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spans="1:36" ht="12.75" customHeight="1" x14ac:dyDescent="0.4">
      <c r="A6" s="64"/>
      <c r="B6" s="64"/>
      <c r="C6" s="64"/>
      <c r="D6" s="64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12"/>
      <c r="S6" s="12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</row>
    <row r="7" spans="1:36" ht="12.75" customHeight="1" x14ac:dyDescent="0.3">
      <c r="A7" s="64"/>
      <c r="B7" s="64"/>
      <c r="C7" s="64"/>
      <c r="D7" s="64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12"/>
      <c r="S7" s="12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</row>
    <row r="8" spans="1:36" ht="17.25" customHeight="1" x14ac:dyDescent="0.3">
      <c r="A8" s="76" t="s">
        <v>0</v>
      </c>
      <c r="B8" s="76" t="s">
        <v>1</v>
      </c>
      <c r="C8" s="76" t="s">
        <v>2</v>
      </c>
      <c r="D8" s="76" t="s">
        <v>3</v>
      </c>
      <c r="E8" s="80" t="s">
        <v>4</v>
      </c>
      <c r="F8" s="81"/>
      <c r="G8" s="76" t="s">
        <v>5</v>
      </c>
      <c r="H8" s="93" t="s">
        <v>6</v>
      </c>
      <c r="I8" s="86" t="s">
        <v>7</v>
      </c>
      <c r="J8" s="87"/>
      <c r="K8" s="87"/>
      <c r="L8" s="87"/>
      <c r="M8" s="87"/>
      <c r="N8" s="87"/>
      <c r="O8" s="87"/>
      <c r="P8" s="87"/>
      <c r="Q8" s="88"/>
      <c r="R8" s="14"/>
      <c r="S8" s="14"/>
      <c r="T8" s="86"/>
      <c r="U8" s="87"/>
      <c r="V8" s="87"/>
      <c r="W8" s="87"/>
      <c r="X8" s="87"/>
      <c r="Y8" s="87"/>
      <c r="Z8" s="87"/>
      <c r="AA8" s="87"/>
      <c r="AB8" s="88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77"/>
      <c r="B9" s="77"/>
      <c r="C9" s="77"/>
      <c r="D9" s="77"/>
      <c r="E9" s="82"/>
      <c r="F9" s="83"/>
      <c r="G9" s="77"/>
      <c r="H9" s="77"/>
      <c r="I9" s="86" t="s">
        <v>7</v>
      </c>
      <c r="J9" s="87"/>
      <c r="K9" s="87"/>
      <c r="L9" s="87"/>
      <c r="M9" s="87"/>
      <c r="N9" s="87"/>
      <c r="O9" s="87"/>
      <c r="P9" s="87"/>
      <c r="Q9" s="88"/>
      <c r="R9" s="16"/>
      <c r="S9" s="16"/>
      <c r="T9" s="86" t="s">
        <v>8</v>
      </c>
      <c r="U9" s="87"/>
      <c r="V9" s="87"/>
      <c r="W9" s="87"/>
      <c r="X9" s="87"/>
      <c r="Y9" s="87"/>
      <c r="Z9" s="87"/>
      <c r="AA9" s="87"/>
      <c r="AB9" s="88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77"/>
      <c r="B10" s="77"/>
      <c r="C10" s="77"/>
      <c r="D10" s="77"/>
      <c r="E10" s="84"/>
      <c r="F10" s="85"/>
      <c r="G10" s="77"/>
      <c r="H10" s="77"/>
      <c r="I10" s="89" t="s">
        <v>9</v>
      </c>
      <c r="J10" s="87"/>
      <c r="K10" s="87"/>
      <c r="L10" s="88"/>
      <c r="M10" s="90" t="s">
        <v>10</v>
      </c>
      <c r="N10" s="90" t="s">
        <v>11</v>
      </c>
      <c r="O10" s="90" t="s">
        <v>12</v>
      </c>
      <c r="P10" s="90" t="s">
        <v>13</v>
      </c>
      <c r="Q10" s="90" t="s">
        <v>14</v>
      </c>
      <c r="R10" s="16" t="s">
        <v>15</v>
      </c>
      <c r="S10" s="92" t="s">
        <v>16</v>
      </c>
      <c r="T10" s="89" t="s">
        <v>9</v>
      </c>
      <c r="U10" s="87"/>
      <c r="V10" s="87"/>
      <c r="W10" s="88"/>
      <c r="X10" s="90" t="s">
        <v>10</v>
      </c>
      <c r="Y10" s="90" t="s">
        <v>11</v>
      </c>
      <c r="Z10" s="90" t="s">
        <v>12</v>
      </c>
      <c r="AA10" s="90" t="s">
        <v>13</v>
      </c>
      <c r="AB10" s="90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5.75" customHeight="1" x14ac:dyDescent="0.3">
      <c r="A11" s="79"/>
      <c r="B11" s="78"/>
      <c r="C11" s="79"/>
      <c r="D11" s="79"/>
      <c r="E11" s="17" t="s">
        <v>18</v>
      </c>
      <c r="F11" s="18" t="s">
        <v>19</v>
      </c>
      <c r="G11" s="78"/>
      <c r="H11" s="78"/>
      <c r="I11" s="19" t="s">
        <v>20</v>
      </c>
      <c r="J11" s="19" t="s">
        <v>21</v>
      </c>
      <c r="K11" s="19" t="s">
        <v>22</v>
      </c>
      <c r="L11" s="19" t="s">
        <v>23</v>
      </c>
      <c r="M11" s="79"/>
      <c r="N11" s="79"/>
      <c r="O11" s="79"/>
      <c r="P11" s="79"/>
      <c r="Q11" s="79"/>
      <c r="R11" s="16"/>
      <c r="S11" s="79"/>
      <c r="T11" s="19" t="s">
        <v>20</v>
      </c>
      <c r="U11" s="19" t="s">
        <v>21</v>
      </c>
      <c r="V11" s="19" t="s">
        <v>22</v>
      </c>
      <c r="W11" s="19" t="s">
        <v>23</v>
      </c>
      <c r="X11" s="79"/>
      <c r="Y11" s="79"/>
      <c r="Z11" s="79"/>
      <c r="AA11" s="79"/>
      <c r="AB11" s="79"/>
      <c r="AC11" s="16"/>
      <c r="AD11" s="15"/>
      <c r="AE11" s="15"/>
      <c r="AF11" s="15"/>
      <c r="AG11" s="15"/>
      <c r="AH11" s="15"/>
      <c r="AI11" s="15"/>
      <c r="AJ11" s="15"/>
    </row>
    <row r="12" spans="1:36" ht="36.75" customHeight="1" x14ac:dyDescent="0.3">
      <c r="A12" s="91">
        <v>1</v>
      </c>
      <c r="B12" s="91" t="s">
        <v>146</v>
      </c>
      <c r="C12" s="91" t="s">
        <v>147</v>
      </c>
      <c r="D12" s="91" t="s">
        <v>148</v>
      </c>
      <c r="E12" s="28" t="s">
        <v>27</v>
      </c>
      <c r="F12" s="28"/>
      <c r="G12" s="21" t="s">
        <v>120</v>
      </c>
      <c r="H12" s="21" t="s">
        <v>121</v>
      </c>
      <c r="I12" s="21">
        <v>1</v>
      </c>
      <c r="J12" s="21">
        <v>3</v>
      </c>
      <c r="K12" s="21">
        <v>2</v>
      </c>
      <c r="L12" s="21">
        <v>3</v>
      </c>
      <c r="M12" s="21">
        <f>I12+J12+K12+L12</f>
        <v>9</v>
      </c>
      <c r="N12" s="21">
        <v>1</v>
      </c>
      <c r="O12" s="24">
        <f>M12*N12</f>
        <v>9</v>
      </c>
      <c r="P12" s="25" t="str">
        <f>IF(G12="No","It",IF(O12&lt;=4,"Trivial",IF(O12&lt;=8,"Tolerable",IF(O12&lt;=16,"Moderado",IF(O12&lt;=24,"Importante",IF(O12&lt;=36,"No Aceptable"))))))</f>
        <v>Moderado</v>
      </c>
      <c r="Q12" s="25" t="str">
        <f>IF(P12="Trivial","NO",IF(P12="Tolerable","NO",IF(P12="Moderado","NO",IF(P12="Importante","SÍ",IF(P12="No Aceptable","SÍ")))))</f>
        <v>NO</v>
      </c>
      <c r="R12" s="26" t="s">
        <v>149</v>
      </c>
      <c r="S12" s="22" t="s">
        <v>49</v>
      </c>
      <c r="T12" s="21">
        <v>1</v>
      </c>
      <c r="U12" s="21">
        <v>1</v>
      </c>
      <c r="V12" s="21">
        <v>1</v>
      </c>
      <c r="W12" s="21">
        <v>3</v>
      </c>
      <c r="X12" s="21">
        <f>T12+U12+V12+W12</f>
        <v>6</v>
      </c>
      <c r="Y12" s="21">
        <v>1</v>
      </c>
      <c r="Z12" s="24">
        <f>X12*Y12</f>
        <v>6</v>
      </c>
      <c r="AA12" s="25" t="str">
        <f>IF(R12="No","It",IF(Z12&lt;=4,"Trivial",IF(Z12&lt;=8,"Tolerable",IF(Z12&lt;=16,"Moderado",IF(Z12&lt;=24,"Importante",IF(Z12&lt;=36,"No Aceptable"))))))</f>
        <v>Tolerable</v>
      </c>
      <c r="AB12" s="25" t="str">
        <f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38.25" customHeight="1" x14ac:dyDescent="0.3">
      <c r="A13" s="77"/>
      <c r="B13" s="77"/>
      <c r="C13" s="77"/>
      <c r="D13" s="77"/>
      <c r="E13" s="28" t="s">
        <v>27</v>
      </c>
      <c r="F13" s="28"/>
      <c r="G13" s="21" t="s">
        <v>65</v>
      </c>
      <c r="H13" s="21" t="s">
        <v>66</v>
      </c>
      <c r="I13" s="21">
        <v>1</v>
      </c>
      <c r="J13" s="21">
        <v>1</v>
      </c>
      <c r="K13" s="21">
        <v>2</v>
      </c>
      <c r="L13" s="21">
        <v>3</v>
      </c>
      <c r="M13" s="21">
        <v>7</v>
      </c>
      <c r="N13" s="21">
        <v>2</v>
      </c>
      <c r="O13" s="24">
        <v>14</v>
      </c>
      <c r="P13" s="40" t="s">
        <v>150</v>
      </c>
      <c r="Q13" s="25" t="s">
        <v>143</v>
      </c>
      <c r="R13" s="26" t="s">
        <v>67</v>
      </c>
      <c r="S13" s="22" t="s">
        <v>49</v>
      </c>
      <c r="T13" s="21">
        <v>1</v>
      </c>
      <c r="U13" s="21">
        <v>1</v>
      </c>
      <c r="V13" s="21">
        <v>1</v>
      </c>
      <c r="W13" s="21">
        <v>3</v>
      </c>
      <c r="X13" s="21">
        <v>6</v>
      </c>
      <c r="Y13" s="21">
        <v>1</v>
      </c>
      <c r="Z13" s="24">
        <v>6</v>
      </c>
      <c r="AA13" s="41" t="s">
        <v>151</v>
      </c>
      <c r="AB13" s="25" t="s">
        <v>143</v>
      </c>
      <c r="AC13" s="26" t="s">
        <v>152</v>
      </c>
      <c r="AD13" s="27"/>
      <c r="AE13" s="27"/>
      <c r="AF13" s="27"/>
      <c r="AG13" s="27"/>
      <c r="AH13" s="27"/>
      <c r="AI13" s="27"/>
      <c r="AJ13" s="27"/>
    </row>
    <row r="14" spans="1:36" ht="34.5" customHeight="1" x14ac:dyDescent="0.3">
      <c r="A14" s="77"/>
      <c r="B14" s="77"/>
      <c r="C14" s="77"/>
      <c r="D14" s="77"/>
      <c r="E14" s="28" t="s">
        <v>27</v>
      </c>
      <c r="F14" s="28"/>
      <c r="G14" s="21" t="s">
        <v>153</v>
      </c>
      <c r="H14" s="21" t="s">
        <v>102</v>
      </c>
      <c r="I14" s="21">
        <v>1</v>
      </c>
      <c r="J14" s="21">
        <v>2</v>
      </c>
      <c r="K14" s="21">
        <v>2</v>
      </c>
      <c r="L14" s="21">
        <v>3</v>
      </c>
      <c r="M14" s="21">
        <f t="shared" ref="M14:M74" si="0">I14+J14+K14+L14</f>
        <v>8</v>
      </c>
      <c r="N14" s="21">
        <v>2</v>
      </c>
      <c r="O14" s="24">
        <f t="shared" ref="O14:O74" si="1">M14*N14</f>
        <v>16</v>
      </c>
      <c r="P14" s="25" t="str">
        <f t="shared" ref="P14:P37" si="2">IF(G14="No","It",IF(O14&lt;=4,"Trivial",IF(O14&lt;=8,"Tolerable",IF(O14&lt;=16,"Moderado",IF(O14&lt;=24,"Importante",IF(O14&lt;=36,"No Aceptable"))))))</f>
        <v>Moderado</v>
      </c>
      <c r="Q14" s="25" t="str">
        <f t="shared" ref="Q14:Q37" si="3">IF(P14="Trivial","NO",IF(P14="Tolerable","NO",IF(P14="Moderado","NO",IF(P14="Importante","SÍ",IF(P14="No Aceptable","SÍ")))))</f>
        <v>NO</v>
      </c>
      <c r="R14" s="26" t="s">
        <v>154</v>
      </c>
      <c r="S14" s="22" t="s">
        <v>49</v>
      </c>
      <c r="T14" s="21">
        <v>1</v>
      </c>
      <c r="U14" s="21">
        <v>1</v>
      </c>
      <c r="V14" s="21">
        <v>1</v>
      </c>
      <c r="W14" s="21">
        <v>3</v>
      </c>
      <c r="X14" s="21">
        <f>I14+J14+K14+L14</f>
        <v>8</v>
      </c>
      <c r="Y14" s="21">
        <v>1</v>
      </c>
      <c r="Z14" s="24">
        <f t="shared" ref="Z14:Z74" si="4">X14*Y14</f>
        <v>8</v>
      </c>
      <c r="AA14" s="25" t="str">
        <f t="shared" ref="AA14:AA20" si="5">IF(R14="No","It",IF(Z14&lt;=4,"Trivial",IF(Z14&lt;=8,"Tolerable",IF(Z14&lt;=16,"Moderado",IF(Z14&lt;=24,"Importante",IF(Z14&lt;=36,"No Aceptable"))))))</f>
        <v>Tolerable</v>
      </c>
      <c r="AB14" s="25" t="str">
        <f t="shared" ref="AB14:AB20" si="6">IF(AA14="Trivial","NO",IF(AA14="Tolerable","NO",IF(AA14="Moderado","NO",IF(AA14="Importante","SÍ",IF(AA14="No Aceptable","SÍ")))))</f>
        <v>NO</v>
      </c>
      <c r="AC14" s="26" t="s">
        <v>32</v>
      </c>
      <c r="AD14" s="27"/>
      <c r="AE14" s="27"/>
      <c r="AF14" s="27"/>
      <c r="AG14" s="27"/>
      <c r="AH14" s="27"/>
      <c r="AI14" s="27"/>
      <c r="AJ14" s="27"/>
    </row>
    <row r="15" spans="1:36" ht="57.75" customHeight="1" x14ac:dyDescent="0.3">
      <c r="A15" s="77"/>
      <c r="B15" s="77"/>
      <c r="C15" s="77"/>
      <c r="D15" s="77"/>
      <c r="E15" s="28" t="s">
        <v>27</v>
      </c>
      <c r="F15" s="28"/>
      <c r="G15" s="42" t="s">
        <v>155</v>
      </c>
      <c r="H15" s="42" t="s">
        <v>156</v>
      </c>
      <c r="I15" s="21">
        <v>1</v>
      </c>
      <c r="J15" s="21">
        <v>2</v>
      </c>
      <c r="K15" s="21">
        <v>2</v>
      </c>
      <c r="L15" s="21">
        <v>3</v>
      </c>
      <c r="M15" s="21">
        <f t="shared" si="0"/>
        <v>8</v>
      </c>
      <c r="N15" s="21">
        <v>2</v>
      </c>
      <c r="O15" s="24">
        <f t="shared" si="1"/>
        <v>16</v>
      </c>
      <c r="P15" s="25" t="str">
        <f t="shared" si="2"/>
        <v>Moderado</v>
      </c>
      <c r="Q15" s="25" t="str">
        <f t="shared" si="3"/>
        <v>NO</v>
      </c>
      <c r="R15" s="30" t="s">
        <v>157</v>
      </c>
      <c r="S15" s="22" t="s">
        <v>158</v>
      </c>
      <c r="T15" s="21">
        <v>1</v>
      </c>
      <c r="U15" s="43">
        <v>1</v>
      </c>
      <c r="V15" s="21">
        <v>1</v>
      </c>
      <c r="W15" s="21">
        <v>3</v>
      </c>
      <c r="X15" s="21">
        <f>T15+U14+V15+W15</f>
        <v>6</v>
      </c>
      <c r="Y15" s="21">
        <v>1</v>
      </c>
      <c r="Z15" s="24">
        <f t="shared" si="4"/>
        <v>6</v>
      </c>
      <c r="AA15" s="25" t="str">
        <f t="shared" si="5"/>
        <v>Tolerable</v>
      </c>
      <c r="AB15" s="25" t="str">
        <f t="shared" si="6"/>
        <v>NO</v>
      </c>
      <c r="AC15" s="26" t="s">
        <v>111</v>
      </c>
      <c r="AD15" s="27"/>
      <c r="AE15" s="27"/>
      <c r="AF15" s="27"/>
      <c r="AG15" s="27"/>
      <c r="AH15" s="27"/>
      <c r="AI15" s="27"/>
      <c r="AJ15" s="27"/>
    </row>
    <row r="16" spans="1:36" ht="33" customHeight="1" x14ac:dyDescent="0.3">
      <c r="A16" s="77"/>
      <c r="B16" s="77"/>
      <c r="C16" s="77"/>
      <c r="D16" s="77"/>
      <c r="E16" s="28" t="s">
        <v>27</v>
      </c>
      <c r="F16" s="28"/>
      <c r="G16" s="22" t="s">
        <v>159</v>
      </c>
      <c r="H16" s="22" t="s">
        <v>160</v>
      </c>
      <c r="I16" s="21">
        <v>1</v>
      </c>
      <c r="J16" s="21">
        <v>2</v>
      </c>
      <c r="K16" s="21">
        <v>2</v>
      </c>
      <c r="L16" s="21">
        <v>3</v>
      </c>
      <c r="M16" s="21">
        <f t="shared" si="0"/>
        <v>8</v>
      </c>
      <c r="N16" s="21">
        <v>1</v>
      </c>
      <c r="O16" s="24">
        <f t="shared" si="1"/>
        <v>8</v>
      </c>
      <c r="P16" s="25" t="str">
        <f t="shared" si="2"/>
        <v>Tolerable</v>
      </c>
      <c r="Q16" s="25" t="str">
        <f t="shared" si="3"/>
        <v>NO</v>
      </c>
      <c r="R16" s="30" t="s">
        <v>161</v>
      </c>
      <c r="S16" s="22" t="s">
        <v>49</v>
      </c>
      <c r="T16" s="21">
        <v>1</v>
      </c>
      <c r="U16" s="21">
        <v>1</v>
      </c>
      <c r="V16" s="21">
        <v>1</v>
      </c>
      <c r="W16" s="21">
        <v>3</v>
      </c>
      <c r="X16" s="21">
        <f t="shared" ref="X16:X74" si="7">T16+U16+V16+W16</f>
        <v>6</v>
      </c>
      <c r="Y16" s="21">
        <v>1</v>
      </c>
      <c r="Z16" s="24">
        <f t="shared" si="4"/>
        <v>6</v>
      </c>
      <c r="AA16" s="25" t="str">
        <f t="shared" si="5"/>
        <v>Tolerable</v>
      </c>
      <c r="AB16" s="25" t="str">
        <f t="shared" si="6"/>
        <v>NO</v>
      </c>
      <c r="AC16" s="26" t="s">
        <v>32</v>
      </c>
      <c r="AD16" s="27"/>
      <c r="AE16" s="27"/>
      <c r="AF16" s="27"/>
      <c r="AG16" s="27"/>
      <c r="AH16" s="27"/>
      <c r="AI16" s="27"/>
      <c r="AJ16" s="27"/>
    </row>
    <row r="17" spans="1:36" ht="92.25" customHeight="1" x14ac:dyDescent="0.3">
      <c r="A17" s="77"/>
      <c r="B17" s="77"/>
      <c r="C17" s="77"/>
      <c r="D17" s="77"/>
      <c r="E17" s="28" t="s">
        <v>27</v>
      </c>
      <c r="F17" s="28"/>
      <c r="G17" s="22" t="s">
        <v>95</v>
      </c>
      <c r="H17" s="39" t="s">
        <v>162</v>
      </c>
      <c r="I17" s="22">
        <v>1</v>
      </c>
      <c r="J17" s="21">
        <v>2</v>
      </c>
      <c r="K17" s="21">
        <v>2</v>
      </c>
      <c r="L17" s="21">
        <v>3</v>
      </c>
      <c r="M17" s="21">
        <f t="shared" si="0"/>
        <v>8</v>
      </c>
      <c r="N17" s="22">
        <v>1</v>
      </c>
      <c r="O17" s="24">
        <f t="shared" si="1"/>
        <v>8</v>
      </c>
      <c r="P17" s="25" t="str">
        <f t="shared" si="2"/>
        <v>Tolerable</v>
      </c>
      <c r="Q17" s="25" t="str">
        <f t="shared" si="3"/>
        <v>NO</v>
      </c>
      <c r="R17" s="30" t="s">
        <v>97</v>
      </c>
      <c r="S17" s="22" t="s">
        <v>163</v>
      </c>
      <c r="T17" s="22">
        <v>1</v>
      </c>
      <c r="U17" s="21">
        <v>1</v>
      </c>
      <c r="V17" s="21">
        <v>1</v>
      </c>
      <c r="W17" s="21">
        <v>3</v>
      </c>
      <c r="X17" s="21">
        <f t="shared" si="7"/>
        <v>6</v>
      </c>
      <c r="Y17" s="22">
        <v>1</v>
      </c>
      <c r="Z17" s="24">
        <f t="shared" si="4"/>
        <v>6</v>
      </c>
      <c r="AA17" s="25" t="str">
        <f t="shared" si="5"/>
        <v>Tolerable</v>
      </c>
      <c r="AB17" s="25" t="str">
        <f t="shared" si="6"/>
        <v>NO</v>
      </c>
      <c r="AC17" s="26" t="s">
        <v>32</v>
      </c>
      <c r="AD17" s="27"/>
      <c r="AE17" s="27"/>
      <c r="AF17" s="27"/>
      <c r="AG17" s="27"/>
      <c r="AH17" s="27"/>
      <c r="AI17" s="27"/>
      <c r="AJ17" s="27"/>
    </row>
    <row r="18" spans="1:36" ht="29.25" customHeight="1" x14ac:dyDescent="0.3">
      <c r="A18" s="77"/>
      <c r="B18" s="77"/>
      <c r="C18" s="77"/>
      <c r="D18" s="77"/>
      <c r="E18" s="28" t="s">
        <v>27</v>
      </c>
      <c r="F18" s="28"/>
      <c r="G18" s="21" t="s">
        <v>28</v>
      </c>
      <c r="H18" s="22" t="s">
        <v>29</v>
      </c>
      <c r="I18" s="22">
        <v>1</v>
      </c>
      <c r="J18" s="21">
        <v>2</v>
      </c>
      <c r="K18" s="21">
        <v>2</v>
      </c>
      <c r="L18" s="21">
        <v>3</v>
      </c>
      <c r="M18" s="21">
        <f t="shared" si="0"/>
        <v>8</v>
      </c>
      <c r="N18" s="22">
        <v>1</v>
      </c>
      <c r="O18" s="24">
        <f t="shared" si="1"/>
        <v>8</v>
      </c>
      <c r="P18" s="25" t="str">
        <f t="shared" si="2"/>
        <v>Tolerable</v>
      </c>
      <c r="Q18" s="25" t="str">
        <f t="shared" si="3"/>
        <v>NO</v>
      </c>
      <c r="R18" s="26" t="s">
        <v>164</v>
      </c>
      <c r="S18" s="22" t="s">
        <v>49</v>
      </c>
      <c r="T18" s="22">
        <v>1</v>
      </c>
      <c r="U18" s="21">
        <v>1</v>
      </c>
      <c r="V18" s="21">
        <v>1</v>
      </c>
      <c r="W18" s="21">
        <v>3</v>
      </c>
      <c r="X18" s="21">
        <f t="shared" si="7"/>
        <v>6</v>
      </c>
      <c r="Y18" s="22">
        <v>1</v>
      </c>
      <c r="Z18" s="24">
        <f t="shared" si="4"/>
        <v>6</v>
      </c>
      <c r="AA18" s="25" t="str">
        <f t="shared" si="5"/>
        <v>Tolerable</v>
      </c>
      <c r="AB18" s="25" t="str">
        <f t="shared" si="6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29.25" customHeight="1" x14ac:dyDescent="0.3">
      <c r="A19" s="77"/>
      <c r="B19" s="78"/>
      <c r="C19" s="78"/>
      <c r="D19" s="78"/>
      <c r="E19" s="21"/>
      <c r="F19" s="28" t="s">
        <v>27</v>
      </c>
      <c r="G19" s="22" t="s">
        <v>60</v>
      </c>
      <c r="H19" s="22" t="s">
        <v>61</v>
      </c>
      <c r="I19" s="22">
        <v>1</v>
      </c>
      <c r="J19" s="22">
        <v>1</v>
      </c>
      <c r="K19" s="22">
        <v>1</v>
      </c>
      <c r="L19" s="22">
        <v>3</v>
      </c>
      <c r="M19" s="21">
        <f t="shared" si="0"/>
        <v>6</v>
      </c>
      <c r="N19" s="22">
        <v>3</v>
      </c>
      <c r="O19" s="24">
        <f t="shared" si="1"/>
        <v>18</v>
      </c>
      <c r="P19" s="25" t="str">
        <f t="shared" si="2"/>
        <v>Importante</v>
      </c>
      <c r="Q19" s="25" t="str">
        <f t="shared" si="3"/>
        <v>SÍ</v>
      </c>
      <c r="R19" s="26" t="s">
        <v>62</v>
      </c>
      <c r="S19" s="22" t="s">
        <v>63</v>
      </c>
      <c r="T19" s="22">
        <v>1</v>
      </c>
      <c r="U19" s="22">
        <v>1</v>
      </c>
      <c r="V19" s="22">
        <v>1</v>
      </c>
      <c r="W19" s="22">
        <v>3</v>
      </c>
      <c r="X19" s="21">
        <f t="shared" si="7"/>
        <v>6</v>
      </c>
      <c r="Y19" s="22">
        <v>2</v>
      </c>
      <c r="Z19" s="24">
        <f t="shared" si="4"/>
        <v>12</v>
      </c>
      <c r="AA19" s="25" t="str">
        <f t="shared" si="5"/>
        <v>Moderado</v>
      </c>
      <c r="AB19" s="25" t="str">
        <f t="shared" si="6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36" customHeight="1" x14ac:dyDescent="0.3">
      <c r="A20" s="94">
        <v>2</v>
      </c>
      <c r="B20" s="94" t="s">
        <v>165</v>
      </c>
      <c r="C20" s="94" t="s">
        <v>166</v>
      </c>
      <c r="D20" s="94" t="s">
        <v>167</v>
      </c>
      <c r="E20" s="28" t="s">
        <v>27</v>
      </c>
      <c r="F20" s="28"/>
      <c r="G20" s="21" t="s">
        <v>120</v>
      </c>
      <c r="H20" s="21" t="s">
        <v>121</v>
      </c>
      <c r="I20" s="21">
        <v>1</v>
      </c>
      <c r="J20" s="21">
        <v>1</v>
      </c>
      <c r="K20" s="21">
        <v>2</v>
      </c>
      <c r="L20" s="21">
        <v>3</v>
      </c>
      <c r="M20" s="21">
        <f t="shared" si="0"/>
        <v>7</v>
      </c>
      <c r="N20" s="21">
        <v>1</v>
      </c>
      <c r="O20" s="24">
        <f t="shared" si="1"/>
        <v>7</v>
      </c>
      <c r="P20" s="25" t="str">
        <f t="shared" si="2"/>
        <v>Tolerable</v>
      </c>
      <c r="Q20" s="25" t="str">
        <f t="shared" si="3"/>
        <v>NO</v>
      </c>
      <c r="R20" s="26" t="s">
        <v>149</v>
      </c>
      <c r="S20" s="22" t="s">
        <v>49</v>
      </c>
      <c r="T20" s="21">
        <v>1</v>
      </c>
      <c r="U20" s="21">
        <v>2</v>
      </c>
      <c r="V20" s="21">
        <v>2</v>
      </c>
      <c r="W20" s="21">
        <v>3</v>
      </c>
      <c r="X20" s="21">
        <f t="shared" si="7"/>
        <v>8</v>
      </c>
      <c r="Y20" s="21">
        <v>1</v>
      </c>
      <c r="Z20" s="24">
        <f t="shared" si="4"/>
        <v>8</v>
      </c>
      <c r="AA20" s="25" t="str">
        <f t="shared" si="5"/>
        <v>Tolerable</v>
      </c>
      <c r="AB20" s="25" t="str">
        <f t="shared" si="6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32.25" customHeight="1" x14ac:dyDescent="0.3">
      <c r="A21" s="77"/>
      <c r="B21" s="77"/>
      <c r="C21" s="77"/>
      <c r="D21" s="77"/>
      <c r="E21" s="28"/>
      <c r="F21" s="28"/>
      <c r="G21" s="21" t="s">
        <v>168</v>
      </c>
      <c r="H21" s="21" t="s">
        <v>169</v>
      </c>
      <c r="I21" s="21">
        <v>1</v>
      </c>
      <c r="J21" s="21">
        <v>1</v>
      </c>
      <c r="K21" s="21">
        <v>1</v>
      </c>
      <c r="L21" s="21">
        <v>3</v>
      </c>
      <c r="M21" s="21">
        <f t="shared" si="0"/>
        <v>6</v>
      </c>
      <c r="N21" s="21">
        <v>3</v>
      </c>
      <c r="O21" s="24">
        <f t="shared" si="1"/>
        <v>18</v>
      </c>
      <c r="P21" s="25" t="str">
        <f t="shared" si="2"/>
        <v>Importante</v>
      </c>
      <c r="Q21" s="25" t="str">
        <f t="shared" si="3"/>
        <v>SÍ</v>
      </c>
      <c r="R21" s="26" t="s">
        <v>170</v>
      </c>
      <c r="S21" s="22" t="s">
        <v>171</v>
      </c>
      <c r="T21" s="21">
        <v>1</v>
      </c>
      <c r="U21" s="21">
        <v>1</v>
      </c>
      <c r="V21" s="21">
        <v>1</v>
      </c>
      <c r="W21" s="21">
        <v>3</v>
      </c>
      <c r="X21" s="21">
        <f t="shared" si="7"/>
        <v>6</v>
      </c>
      <c r="Y21" s="21">
        <v>2</v>
      </c>
      <c r="Z21" s="24">
        <f t="shared" si="4"/>
        <v>12</v>
      </c>
      <c r="AA21" s="40" t="s">
        <v>150</v>
      </c>
      <c r="AB21" s="25" t="s">
        <v>172</v>
      </c>
      <c r="AC21" s="26" t="s">
        <v>173</v>
      </c>
      <c r="AD21" s="27"/>
      <c r="AE21" s="27"/>
      <c r="AF21" s="27"/>
      <c r="AG21" s="27"/>
      <c r="AH21" s="27"/>
      <c r="AI21" s="27"/>
      <c r="AJ21" s="27"/>
    </row>
    <row r="22" spans="1:36" ht="42" customHeight="1" x14ac:dyDescent="0.3">
      <c r="A22" s="77"/>
      <c r="B22" s="77"/>
      <c r="C22" s="77"/>
      <c r="D22" s="77"/>
      <c r="E22" s="28" t="s">
        <v>27</v>
      </c>
      <c r="F22" s="28"/>
      <c r="G22" s="21" t="s">
        <v>153</v>
      </c>
      <c r="H22" s="21" t="s">
        <v>102</v>
      </c>
      <c r="I22" s="21">
        <v>1</v>
      </c>
      <c r="J22" s="21">
        <v>3</v>
      </c>
      <c r="K22" s="21">
        <v>1</v>
      </c>
      <c r="L22" s="21">
        <v>3</v>
      </c>
      <c r="M22" s="21">
        <f t="shared" si="0"/>
        <v>8</v>
      </c>
      <c r="N22" s="21">
        <v>1</v>
      </c>
      <c r="O22" s="24">
        <f t="shared" si="1"/>
        <v>8</v>
      </c>
      <c r="P22" s="25" t="str">
        <f t="shared" si="2"/>
        <v>Tolerable</v>
      </c>
      <c r="Q22" s="25" t="str">
        <f t="shared" si="3"/>
        <v>NO</v>
      </c>
      <c r="R22" s="26" t="s">
        <v>154</v>
      </c>
      <c r="S22" s="22" t="s">
        <v>49</v>
      </c>
      <c r="T22" s="21">
        <v>1</v>
      </c>
      <c r="U22" s="21">
        <v>1</v>
      </c>
      <c r="V22" s="21">
        <v>1</v>
      </c>
      <c r="W22" s="21">
        <v>3</v>
      </c>
      <c r="X22" s="21">
        <f t="shared" si="7"/>
        <v>6</v>
      </c>
      <c r="Y22" s="21">
        <v>1</v>
      </c>
      <c r="Z22" s="24">
        <f t="shared" si="4"/>
        <v>6</v>
      </c>
      <c r="AA22" s="25" t="str">
        <f t="shared" ref="AA22:AA37" si="8">IF(R22="No","It",IF(Z22&lt;=4,"Trivial",IF(Z22&lt;=8,"Tolerable",IF(Z22&lt;=16,"Moderado",IF(Z22&lt;=24,"Importante",IF(Z22&lt;=36,"No Aceptable"))))))</f>
        <v>Tolerable</v>
      </c>
      <c r="AB22" s="25" t="str">
        <f t="shared" ref="AB22:AB37" si="9">IF(AA22="Trivial","NO",IF(AA22="Tolerable","NO",IF(AA22="Moderado","NO",IF(AA22="Importante","SÍ",IF(AA22="No Aceptable","SÍ")))))</f>
        <v>NO</v>
      </c>
      <c r="AC22" s="26" t="s">
        <v>152</v>
      </c>
      <c r="AD22" s="27"/>
      <c r="AE22" s="27"/>
      <c r="AF22" s="27"/>
      <c r="AG22" s="27"/>
      <c r="AH22" s="27"/>
      <c r="AI22" s="27"/>
      <c r="AJ22" s="27"/>
    </row>
    <row r="23" spans="1:36" ht="67.5" customHeight="1" x14ac:dyDescent="0.3">
      <c r="A23" s="77"/>
      <c r="B23" s="77"/>
      <c r="C23" s="77"/>
      <c r="D23" s="77"/>
      <c r="E23" s="28" t="s">
        <v>27</v>
      </c>
      <c r="F23" s="28"/>
      <c r="G23" s="42" t="s">
        <v>155</v>
      </c>
      <c r="H23" s="42" t="s">
        <v>174</v>
      </c>
      <c r="I23" s="21">
        <v>1</v>
      </c>
      <c r="J23" s="21">
        <v>3</v>
      </c>
      <c r="K23" s="21">
        <v>1</v>
      </c>
      <c r="L23" s="21">
        <v>3</v>
      </c>
      <c r="M23" s="21">
        <f t="shared" si="0"/>
        <v>8</v>
      </c>
      <c r="N23" s="21">
        <v>1</v>
      </c>
      <c r="O23" s="24">
        <f t="shared" si="1"/>
        <v>8</v>
      </c>
      <c r="P23" s="25" t="str">
        <f t="shared" si="2"/>
        <v>Tolerable</v>
      </c>
      <c r="Q23" s="25" t="str">
        <f t="shared" si="3"/>
        <v>NO</v>
      </c>
      <c r="R23" s="30" t="s">
        <v>157</v>
      </c>
      <c r="S23" s="22" t="s">
        <v>49</v>
      </c>
      <c r="T23" s="21">
        <v>1</v>
      </c>
      <c r="U23" s="21">
        <v>1</v>
      </c>
      <c r="V23" s="21">
        <v>1</v>
      </c>
      <c r="W23" s="21">
        <v>3</v>
      </c>
      <c r="X23" s="21">
        <f t="shared" si="7"/>
        <v>6</v>
      </c>
      <c r="Y23" s="21">
        <v>1</v>
      </c>
      <c r="Z23" s="24">
        <f t="shared" si="4"/>
        <v>6</v>
      </c>
      <c r="AA23" s="25" t="str">
        <f t="shared" si="8"/>
        <v>Tolerable</v>
      </c>
      <c r="AB23" s="25" t="str">
        <f t="shared" si="9"/>
        <v>NO</v>
      </c>
      <c r="AC23" s="26" t="s">
        <v>111</v>
      </c>
      <c r="AD23" s="27"/>
      <c r="AE23" s="27"/>
      <c r="AF23" s="27"/>
      <c r="AG23" s="27"/>
      <c r="AH23" s="27"/>
      <c r="AI23" s="27"/>
      <c r="AJ23" s="27"/>
    </row>
    <row r="24" spans="1:36" ht="46.5" customHeight="1" x14ac:dyDescent="0.3">
      <c r="A24" s="77"/>
      <c r="B24" s="77"/>
      <c r="C24" s="77"/>
      <c r="D24" s="77"/>
      <c r="E24" s="28" t="s">
        <v>27</v>
      </c>
      <c r="F24" s="28"/>
      <c r="G24" s="21" t="s">
        <v>65</v>
      </c>
      <c r="H24" s="21" t="s">
        <v>66</v>
      </c>
      <c r="I24" s="21">
        <v>1</v>
      </c>
      <c r="J24" s="21">
        <v>1</v>
      </c>
      <c r="K24" s="21">
        <v>2</v>
      </c>
      <c r="L24" s="21">
        <v>3</v>
      </c>
      <c r="M24" s="21">
        <f t="shared" si="0"/>
        <v>7</v>
      </c>
      <c r="N24" s="21">
        <v>2</v>
      </c>
      <c r="O24" s="24">
        <f t="shared" si="1"/>
        <v>14</v>
      </c>
      <c r="P24" s="25" t="str">
        <f t="shared" si="2"/>
        <v>Moderado</v>
      </c>
      <c r="Q24" s="25" t="str">
        <f t="shared" si="3"/>
        <v>NO</v>
      </c>
      <c r="R24" s="26" t="s">
        <v>67</v>
      </c>
      <c r="S24" s="22" t="s">
        <v>175</v>
      </c>
      <c r="T24" s="21">
        <v>1</v>
      </c>
      <c r="U24" s="21">
        <v>1</v>
      </c>
      <c r="V24" s="21">
        <v>1</v>
      </c>
      <c r="W24" s="21">
        <v>3</v>
      </c>
      <c r="X24" s="21">
        <f t="shared" si="7"/>
        <v>6</v>
      </c>
      <c r="Y24" s="21">
        <v>2</v>
      </c>
      <c r="Z24" s="24">
        <f t="shared" si="4"/>
        <v>12</v>
      </c>
      <c r="AA24" s="25" t="str">
        <f t="shared" si="8"/>
        <v>Moderado</v>
      </c>
      <c r="AB24" s="25" t="str">
        <f t="shared" si="9"/>
        <v>NO</v>
      </c>
      <c r="AC24" s="26" t="s">
        <v>152</v>
      </c>
      <c r="AD24" s="27"/>
      <c r="AE24" s="27"/>
      <c r="AF24" s="27"/>
      <c r="AG24" s="27"/>
      <c r="AH24" s="27"/>
      <c r="AI24" s="27"/>
      <c r="AJ24" s="27"/>
    </row>
    <row r="25" spans="1:36" ht="36" customHeight="1" x14ac:dyDescent="0.3">
      <c r="A25" s="77"/>
      <c r="B25" s="77"/>
      <c r="C25" s="77"/>
      <c r="D25" s="77"/>
      <c r="E25" s="28" t="s">
        <v>27</v>
      </c>
      <c r="F25" s="28"/>
      <c r="G25" s="22" t="s">
        <v>159</v>
      </c>
      <c r="H25" s="22" t="s">
        <v>160</v>
      </c>
      <c r="I25" s="21">
        <v>1</v>
      </c>
      <c r="J25" s="21">
        <v>1</v>
      </c>
      <c r="K25" s="21">
        <v>1</v>
      </c>
      <c r="L25" s="21">
        <v>3</v>
      </c>
      <c r="M25" s="21">
        <f t="shared" si="0"/>
        <v>6</v>
      </c>
      <c r="N25" s="21">
        <v>1</v>
      </c>
      <c r="O25" s="24">
        <f t="shared" si="1"/>
        <v>6</v>
      </c>
      <c r="P25" s="25" t="str">
        <f t="shared" si="2"/>
        <v>Tolerable</v>
      </c>
      <c r="Q25" s="25" t="str">
        <f t="shared" si="3"/>
        <v>NO</v>
      </c>
      <c r="R25" s="30" t="s">
        <v>161</v>
      </c>
      <c r="S25" s="22" t="s">
        <v>49</v>
      </c>
      <c r="T25" s="21">
        <v>1</v>
      </c>
      <c r="U25" s="21">
        <v>1</v>
      </c>
      <c r="V25" s="21">
        <v>1</v>
      </c>
      <c r="W25" s="21">
        <v>3</v>
      </c>
      <c r="X25" s="21">
        <f t="shared" si="7"/>
        <v>6</v>
      </c>
      <c r="Y25" s="21">
        <v>1</v>
      </c>
      <c r="Z25" s="24">
        <f t="shared" si="4"/>
        <v>6</v>
      </c>
      <c r="AA25" s="25" t="str">
        <f t="shared" si="8"/>
        <v>Tolerable</v>
      </c>
      <c r="AB25" s="25" t="str">
        <f t="shared" si="9"/>
        <v>NO</v>
      </c>
      <c r="AC25" s="26" t="s">
        <v>32</v>
      </c>
      <c r="AD25" s="27"/>
      <c r="AE25" s="27"/>
      <c r="AF25" s="27"/>
      <c r="AG25" s="27"/>
      <c r="AH25" s="27"/>
      <c r="AI25" s="27"/>
      <c r="AJ25" s="27"/>
    </row>
    <row r="26" spans="1:36" ht="41.25" customHeight="1" x14ac:dyDescent="0.3">
      <c r="A26" s="77"/>
      <c r="B26" s="77"/>
      <c r="C26" s="77"/>
      <c r="D26" s="77"/>
      <c r="E26" s="28" t="s">
        <v>27</v>
      </c>
      <c r="F26" s="28"/>
      <c r="G26" s="22" t="s">
        <v>95</v>
      </c>
      <c r="H26" s="39" t="s">
        <v>162</v>
      </c>
      <c r="I26" s="22">
        <v>1</v>
      </c>
      <c r="J26" s="21">
        <v>2</v>
      </c>
      <c r="K26" s="21">
        <v>2</v>
      </c>
      <c r="L26" s="21">
        <v>3</v>
      </c>
      <c r="M26" s="21">
        <f t="shared" si="0"/>
        <v>8</v>
      </c>
      <c r="N26" s="22">
        <v>1</v>
      </c>
      <c r="O26" s="24">
        <f t="shared" si="1"/>
        <v>8</v>
      </c>
      <c r="P26" s="25" t="str">
        <f t="shared" si="2"/>
        <v>Tolerable</v>
      </c>
      <c r="Q26" s="25" t="str">
        <f t="shared" si="3"/>
        <v>NO</v>
      </c>
      <c r="R26" s="30" t="s">
        <v>97</v>
      </c>
      <c r="S26" s="22" t="s">
        <v>176</v>
      </c>
      <c r="T26" s="22">
        <v>1</v>
      </c>
      <c r="U26" s="21">
        <v>2</v>
      </c>
      <c r="V26" s="21">
        <v>2</v>
      </c>
      <c r="W26" s="21">
        <v>3</v>
      </c>
      <c r="X26" s="21">
        <f t="shared" si="7"/>
        <v>8</v>
      </c>
      <c r="Y26" s="22">
        <v>1</v>
      </c>
      <c r="Z26" s="24">
        <f t="shared" si="4"/>
        <v>8</v>
      </c>
      <c r="AA26" s="25" t="str">
        <f t="shared" si="8"/>
        <v>Tolerable</v>
      </c>
      <c r="AB26" s="25" t="str">
        <f t="shared" si="9"/>
        <v>NO</v>
      </c>
      <c r="AC26" s="26" t="s">
        <v>32</v>
      </c>
      <c r="AD26" s="27"/>
      <c r="AE26" s="27"/>
      <c r="AF26" s="27"/>
      <c r="AG26" s="27"/>
      <c r="AH26" s="27"/>
      <c r="AI26" s="27"/>
      <c r="AJ26" s="27"/>
    </row>
    <row r="27" spans="1:36" ht="41.25" customHeight="1" x14ac:dyDescent="0.3">
      <c r="A27" s="77"/>
      <c r="B27" s="77"/>
      <c r="C27" s="77"/>
      <c r="D27" s="77"/>
      <c r="E27" s="21"/>
      <c r="F27" s="28" t="s">
        <v>27</v>
      </c>
      <c r="G27" s="22" t="s">
        <v>60</v>
      </c>
      <c r="H27" s="22" t="s">
        <v>61</v>
      </c>
      <c r="I27" s="22">
        <v>1</v>
      </c>
      <c r="J27" s="22">
        <v>1</v>
      </c>
      <c r="K27" s="22">
        <v>1</v>
      </c>
      <c r="L27" s="22">
        <v>3</v>
      </c>
      <c r="M27" s="21">
        <f t="shared" si="0"/>
        <v>6</v>
      </c>
      <c r="N27" s="22">
        <v>3</v>
      </c>
      <c r="O27" s="24">
        <f t="shared" si="1"/>
        <v>18</v>
      </c>
      <c r="P27" s="25" t="str">
        <f t="shared" si="2"/>
        <v>Importante</v>
      </c>
      <c r="Q27" s="25" t="str">
        <f t="shared" si="3"/>
        <v>SÍ</v>
      </c>
      <c r="R27" s="26" t="s">
        <v>62</v>
      </c>
      <c r="S27" s="22" t="s">
        <v>63</v>
      </c>
      <c r="T27" s="22">
        <v>1</v>
      </c>
      <c r="U27" s="22">
        <v>1</v>
      </c>
      <c r="V27" s="22">
        <v>1</v>
      </c>
      <c r="W27" s="22">
        <v>3</v>
      </c>
      <c r="X27" s="21">
        <f t="shared" si="7"/>
        <v>6</v>
      </c>
      <c r="Y27" s="22">
        <v>2</v>
      </c>
      <c r="Z27" s="24">
        <f t="shared" si="4"/>
        <v>12</v>
      </c>
      <c r="AA27" s="25" t="str">
        <f t="shared" si="8"/>
        <v>Moderado</v>
      </c>
      <c r="AB27" s="25" t="str">
        <f t="shared" si="9"/>
        <v>NO</v>
      </c>
      <c r="AC27" s="30" t="s">
        <v>64</v>
      </c>
      <c r="AD27" s="27"/>
      <c r="AE27" s="27"/>
      <c r="AF27" s="27"/>
      <c r="AG27" s="27"/>
      <c r="AH27" s="27"/>
      <c r="AI27" s="27"/>
      <c r="AJ27" s="27"/>
    </row>
    <row r="28" spans="1:36" ht="40.5" customHeight="1" x14ac:dyDescent="0.3">
      <c r="A28" s="79"/>
      <c r="B28" s="78"/>
      <c r="C28" s="78"/>
      <c r="D28" s="78"/>
      <c r="E28" s="28" t="s">
        <v>27</v>
      </c>
      <c r="F28" s="28"/>
      <c r="G28" s="21" t="s">
        <v>28</v>
      </c>
      <c r="H28" s="22" t="s">
        <v>29</v>
      </c>
      <c r="I28" s="22">
        <v>1</v>
      </c>
      <c r="J28" s="21">
        <v>1</v>
      </c>
      <c r="K28" s="21">
        <v>1</v>
      </c>
      <c r="L28" s="21">
        <v>3</v>
      </c>
      <c r="M28" s="21">
        <f t="shared" si="0"/>
        <v>6</v>
      </c>
      <c r="N28" s="22">
        <v>1</v>
      </c>
      <c r="O28" s="24">
        <f t="shared" si="1"/>
        <v>6</v>
      </c>
      <c r="P28" s="25" t="str">
        <f t="shared" si="2"/>
        <v>Tolerable</v>
      </c>
      <c r="Q28" s="25" t="str">
        <f t="shared" si="3"/>
        <v>NO</v>
      </c>
      <c r="R28" s="30" t="s">
        <v>177</v>
      </c>
      <c r="S28" s="22" t="s">
        <v>49</v>
      </c>
      <c r="T28" s="22">
        <v>1</v>
      </c>
      <c r="U28" s="21">
        <v>1</v>
      </c>
      <c r="V28" s="21">
        <v>1</v>
      </c>
      <c r="W28" s="21">
        <v>3</v>
      </c>
      <c r="X28" s="21">
        <f t="shared" si="7"/>
        <v>6</v>
      </c>
      <c r="Y28" s="22">
        <v>1</v>
      </c>
      <c r="Z28" s="24">
        <f t="shared" si="4"/>
        <v>6</v>
      </c>
      <c r="AA28" s="25" t="str">
        <f t="shared" si="8"/>
        <v>Tolerable</v>
      </c>
      <c r="AB28" s="25" t="str">
        <f t="shared" si="9"/>
        <v>NO</v>
      </c>
      <c r="AC28" s="26" t="s">
        <v>32</v>
      </c>
      <c r="AD28" s="27"/>
      <c r="AE28" s="27"/>
      <c r="AF28" s="27"/>
      <c r="AG28" s="27"/>
      <c r="AH28" s="27"/>
      <c r="AI28" s="27"/>
      <c r="AJ28" s="27"/>
    </row>
    <row r="29" spans="1:36" customFormat="1" ht="47.25" customHeight="1" x14ac:dyDescent="0.3">
      <c r="A29" s="94">
        <v>3</v>
      </c>
      <c r="B29" s="97" t="s">
        <v>178</v>
      </c>
      <c r="C29" s="94" t="s">
        <v>179</v>
      </c>
      <c r="D29" s="94" t="s">
        <v>180</v>
      </c>
      <c r="E29" s="20" t="s">
        <v>27</v>
      </c>
      <c r="F29" s="20"/>
      <c r="G29" s="21" t="s">
        <v>120</v>
      </c>
      <c r="H29" s="21" t="s">
        <v>121</v>
      </c>
      <c r="I29" s="21">
        <v>1</v>
      </c>
      <c r="J29" s="21">
        <v>2</v>
      </c>
      <c r="K29" s="21">
        <v>1</v>
      </c>
      <c r="L29" s="21">
        <v>3</v>
      </c>
      <c r="M29" s="21">
        <f t="shared" si="0"/>
        <v>7</v>
      </c>
      <c r="N29" s="23">
        <v>1</v>
      </c>
      <c r="O29" s="24">
        <f t="shared" si="1"/>
        <v>7</v>
      </c>
      <c r="P29" s="25" t="str">
        <f t="shared" si="2"/>
        <v>Tolerable</v>
      </c>
      <c r="Q29" s="25" t="str">
        <f t="shared" si="3"/>
        <v>NO</v>
      </c>
      <c r="R29" s="26" t="s">
        <v>149</v>
      </c>
      <c r="S29" s="23" t="s">
        <v>49</v>
      </c>
      <c r="T29" s="21">
        <v>1</v>
      </c>
      <c r="U29" s="21">
        <v>2</v>
      </c>
      <c r="V29" s="21">
        <v>2</v>
      </c>
      <c r="W29" s="21">
        <v>3</v>
      </c>
      <c r="X29" s="21">
        <f t="shared" si="7"/>
        <v>8</v>
      </c>
      <c r="Y29" s="23">
        <v>1</v>
      </c>
      <c r="Z29" s="24">
        <f t="shared" si="4"/>
        <v>8</v>
      </c>
      <c r="AA29" s="25" t="str">
        <f t="shared" si="8"/>
        <v>Tolerable</v>
      </c>
      <c r="AB29" s="25" t="str">
        <f t="shared" si="9"/>
        <v>NO</v>
      </c>
      <c r="AC29" s="26" t="s">
        <v>32</v>
      </c>
      <c r="AD29" s="27"/>
      <c r="AE29" s="27"/>
      <c r="AF29" s="27"/>
      <c r="AG29" s="27"/>
      <c r="AH29" s="27"/>
      <c r="AI29" s="27"/>
      <c r="AJ29" s="27"/>
    </row>
    <row r="30" spans="1:36" customFormat="1" ht="36" customHeight="1" x14ac:dyDescent="0.3">
      <c r="A30" s="95"/>
      <c r="B30" s="95"/>
      <c r="C30" s="95"/>
      <c r="D30" s="95"/>
      <c r="E30" s="20" t="s">
        <v>27</v>
      </c>
      <c r="F30" s="20"/>
      <c r="G30" s="21" t="s">
        <v>153</v>
      </c>
      <c r="H30" s="21" t="s">
        <v>102</v>
      </c>
      <c r="I30" s="21">
        <v>1</v>
      </c>
      <c r="J30" s="21">
        <v>2</v>
      </c>
      <c r="K30" s="21">
        <v>2</v>
      </c>
      <c r="L30" s="21">
        <v>3</v>
      </c>
      <c r="M30" s="21">
        <f t="shared" si="0"/>
        <v>8</v>
      </c>
      <c r="N30" s="23">
        <v>1</v>
      </c>
      <c r="O30" s="24">
        <f t="shared" si="1"/>
        <v>8</v>
      </c>
      <c r="P30" s="25" t="str">
        <f t="shared" si="2"/>
        <v>Tolerable</v>
      </c>
      <c r="Q30" s="25" t="str">
        <f t="shared" si="3"/>
        <v>NO</v>
      </c>
      <c r="R30" s="26" t="s">
        <v>154</v>
      </c>
      <c r="S30" s="23" t="s">
        <v>49</v>
      </c>
      <c r="T30" s="21">
        <v>1</v>
      </c>
      <c r="U30" s="21">
        <v>2</v>
      </c>
      <c r="V30" s="21">
        <v>2</v>
      </c>
      <c r="W30" s="21">
        <v>3</v>
      </c>
      <c r="X30" s="21">
        <f t="shared" si="7"/>
        <v>8</v>
      </c>
      <c r="Y30" s="23">
        <v>1</v>
      </c>
      <c r="Z30" s="24">
        <f t="shared" si="4"/>
        <v>8</v>
      </c>
      <c r="AA30" s="25" t="str">
        <f t="shared" si="8"/>
        <v>Tolerable</v>
      </c>
      <c r="AB30" s="25" t="str">
        <f t="shared" si="9"/>
        <v>NO</v>
      </c>
      <c r="AC30" s="26" t="s">
        <v>32</v>
      </c>
      <c r="AD30" s="27"/>
      <c r="AE30" s="27"/>
      <c r="AF30" s="27"/>
      <c r="AG30" s="27"/>
      <c r="AH30" s="27"/>
      <c r="AI30" s="27"/>
      <c r="AJ30" s="27"/>
    </row>
    <row r="31" spans="1:36" customFormat="1" ht="30" customHeight="1" x14ac:dyDescent="0.3">
      <c r="A31" s="95"/>
      <c r="B31" s="95"/>
      <c r="C31" s="95"/>
      <c r="D31" s="95"/>
      <c r="E31" s="28" t="s">
        <v>27</v>
      </c>
      <c r="F31" s="28"/>
      <c r="G31" s="21" t="s">
        <v>65</v>
      </c>
      <c r="H31" s="21" t="s">
        <v>66</v>
      </c>
      <c r="I31" s="21">
        <v>1</v>
      </c>
      <c r="J31" s="21">
        <v>1</v>
      </c>
      <c r="K31" s="21">
        <v>1</v>
      </c>
      <c r="L31" s="21">
        <v>3</v>
      </c>
      <c r="M31" s="21">
        <f t="shared" si="0"/>
        <v>6</v>
      </c>
      <c r="N31" s="21">
        <v>2</v>
      </c>
      <c r="O31" s="24">
        <f t="shared" si="1"/>
        <v>12</v>
      </c>
      <c r="P31" s="25" t="str">
        <f t="shared" si="2"/>
        <v>Moderado</v>
      </c>
      <c r="Q31" s="25" t="str">
        <f t="shared" si="3"/>
        <v>NO</v>
      </c>
      <c r="R31" s="26" t="s">
        <v>67</v>
      </c>
      <c r="S31" s="23" t="s">
        <v>175</v>
      </c>
      <c r="T31" s="21">
        <v>1</v>
      </c>
      <c r="U31" s="21">
        <v>1</v>
      </c>
      <c r="V31" s="21">
        <v>1</v>
      </c>
      <c r="W31" s="21">
        <v>3</v>
      </c>
      <c r="X31" s="21">
        <f t="shared" si="7"/>
        <v>6</v>
      </c>
      <c r="Y31" s="21">
        <v>2</v>
      </c>
      <c r="Z31" s="24">
        <f t="shared" si="4"/>
        <v>12</v>
      </c>
      <c r="AA31" s="25" t="str">
        <f t="shared" si="8"/>
        <v>Moderado</v>
      </c>
      <c r="AB31" s="25" t="str">
        <f t="shared" si="9"/>
        <v>NO</v>
      </c>
      <c r="AC31" s="26" t="s">
        <v>152</v>
      </c>
      <c r="AD31" s="27"/>
      <c r="AE31" s="27"/>
      <c r="AF31" s="27"/>
      <c r="AG31" s="27"/>
      <c r="AH31" s="27"/>
      <c r="AI31" s="27"/>
      <c r="AJ31" s="27"/>
    </row>
    <row r="32" spans="1:36" customFormat="1" ht="61.5" customHeight="1" x14ac:dyDescent="0.3">
      <c r="A32" s="95"/>
      <c r="B32" s="95"/>
      <c r="C32" s="95"/>
      <c r="D32" s="95"/>
      <c r="E32" s="20" t="s">
        <v>27</v>
      </c>
      <c r="F32" s="20"/>
      <c r="G32" s="42" t="s">
        <v>155</v>
      </c>
      <c r="H32" s="42" t="s">
        <v>156</v>
      </c>
      <c r="I32" s="21">
        <v>1</v>
      </c>
      <c r="J32" s="21">
        <v>2</v>
      </c>
      <c r="K32" s="21">
        <v>2</v>
      </c>
      <c r="L32" s="21">
        <v>3</v>
      </c>
      <c r="M32" s="21">
        <f t="shared" si="0"/>
        <v>8</v>
      </c>
      <c r="N32" s="23">
        <v>1</v>
      </c>
      <c r="O32" s="24">
        <f t="shared" si="1"/>
        <v>8</v>
      </c>
      <c r="P32" s="25" t="str">
        <f t="shared" si="2"/>
        <v>Tolerable</v>
      </c>
      <c r="Q32" s="25" t="str">
        <f t="shared" si="3"/>
        <v>NO</v>
      </c>
      <c r="R32" s="37" t="s">
        <v>181</v>
      </c>
      <c r="S32" s="23" t="s">
        <v>49</v>
      </c>
      <c r="T32" s="21">
        <v>1</v>
      </c>
      <c r="U32" s="21">
        <v>2</v>
      </c>
      <c r="V32" s="21">
        <v>2</v>
      </c>
      <c r="W32" s="21">
        <v>3</v>
      </c>
      <c r="X32" s="21">
        <f t="shared" si="7"/>
        <v>8</v>
      </c>
      <c r="Y32" s="23">
        <v>1</v>
      </c>
      <c r="Z32" s="24">
        <f t="shared" si="4"/>
        <v>8</v>
      </c>
      <c r="AA32" s="25" t="str">
        <f t="shared" si="8"/>
        <v>Tolerable</v>
      </c>
      <c r="AB32" s="25" t="str">
        <f t="shared" si="9"/>
        <v>NO</v>
      </c>
      <c r="AC32" s="26" t="s">
        <v>111</v>
      </c>
      <c r="AD32" s="27"/>
      <c r="AE32" s="27"/>
      <c r="AF32" s="27"/>
      <c r="AG32" s="27"/>
      <c r="AH32" s="27"/>
      <c r="AI32" s="27"/>
      <c r="AJ32" s="27"/>
    </row>
    <row r="33" spans="1:36" customFormat="1" ht="79.5" customHeight="1" x14ac:dyDescent="0.3">
      <c r="A33" s="95"/>
      <c r="B33" s="95"/>
      <c r="C33" s="95"/>
      <c r="D33" s="95"/>
      <c r="E33" s="20" t="s">
        <v>27</v>
      </c>
      <c r="F33" s="20"/>
      <c r="G33" s="23" t="s">
        <v>182</v>
      </c>
      <c r="H33" s="39" t="s">
        <v>162</v>
      </c>
      <c r="I33" s="23">
        <v>1</v>
      </c>
      <c r="J33" s="21">
        <v>2</v>
      </c>
      <c r="K33" s="21">
        <v>2</v>
      </c>
      <c r="L33" s="21">
        <v>3</v>
      </c>
      <c r="M33" s="21">
        <f t="shared" si="0"/>
        <v>8</v>
      </c>
      <c r="N33" s="23">
        <v>1</v>
      </c>
      <c r="O33" s="24">
        <f t="shared" si="1"/>
        <v>8</v>
      </c>
      <c r="P33" s="25" t="str">
        <f t="shared" si="2"/>
        <v>Tolerable</v>
      </c>
      <c r="Q33" s="25" t="str">
        <f t="shared" si="3"/>
        <v>NO</v>
      </c>
      <c r="R33" s="30" t="s">
        <v>97</v>
      </c>
      <c r="S33" s="22" t="s">
        <v>176</v>
      </c>
      <c r="T33" s="23">
        <v>1</v>
      </c>
      <c r="U33" s="21">
        <v>2</v>
      </c>
      <c r="V33" s="21">
        <v>2</v>
      </c>
      <c r="W33" s="21">
        <v>3</v>
      </c>
      <c r="X33" s="21">
        <f t="shared" si="7"/>
        <v>8</v>
      </c>
      <c r="Y33" s="23">
        <v>1</v>
      </c>
      <c r="Z33" s="24">
        <f t="shared" si="4"/>
        <v>8</v>
      </c>
      <c r="AA33" s="25" t="str">
        <f t="shared" si="8"/>
        <v>Tolerable</v>
      </c>
      <c r="AB33" s="25" t="str">
        <f t="shared" si="9"/>
        <v>NO</v>
      </c>
      <c r="AC33" s="26" t="s">
        <v>32</v>
      </c>
      <c r="AD33" s="27"/>
      <c r="AE33" s="27"/>
      <c r="AF33" s="27"/>
      <c r="AG33" s="27"/>
      <c r="AH33" s="27"/>
      <c r="AI33" s="27"/>
      <c r="AJ33" s="27"/>
    </row>
    <row r="34" spans="1:36" customFormat="1" ht="79.5" customHeight="1" x14ac:dyDescent="0.3">
      <c r="A34" s="95"/>
      <c r="B34" s="95"/>
      <c r="C34" s="95"/>
      <c r="D34" s="95"/>
      <c r="E34" s="21"/>
      <c r="F34" s="20" t="s">
        <v>27</v>
      </c>
      <c r="G34" s="22" t="s">
        <v>60</v>
      </c>
      <c r="H34" s="22" t="s">
        <v>61</v>
      </c>
      <c r="I34" s="23">
        <v>1</v>
      </c>
      <c r="J34" s="23">
        <v>1</v>
      </c>
      <c r="K34" s="23">
        <v>1</v>
      </c>
      <c r="L34" s="23">
        <v>3</v>
      </c>
      <c r="M34" s="21">
        <f t="shared" si="0"/>
        <v>6</v>
      </c>
      <c r="N34" s="23">
        <v>3</v>
      </c>
      <c r="O34" s="24">
        <f t="shared" si="1"/>
        <v>18</v>
      </c>
      <c r="P34" s="25" t="str">
        <f t="shared" si="2"/>
        <v>Importante</v>
      </c>
      <c r="Q34" s="25" t="str">
        <f t="shared" si="3"/>
        <v>SÍ</v>
      </c>
      <c r="R34" s="26" t="s">
        <v>62</v>
      </c>
      <c r="S34" s="22" t="s">
        <v>63</v>
      </c>
      <c r="T34" s="23">
        <v>1</v>
      </c>
      <c r="U34" s="23">
        <v>1</v>
      </c>
      <c r="V34" s="23">
        <v>1</v>
      </c>
      <c r="W34" s="23">
        <v>3</v>
      </c>
      <c r="X34" s="21">
        <f t="shared" si="7"/>
        <v>6</v>
      </c>
      <c r="Y34" s="23">
        <v>2</v>
      </c>
      <c r="Z34" s="24">
        <f t="shared" si="4"/>
        <v>12</v>
      </c>
      <c r="AA34" s="25" t="str">
        <f t="shared" si="8"/>
        <v>Moderado</v>
      </c>
      <c r="AB34" s="25" t="str">
        <f t="shared" si="9"/>
        <v>NO</v>
      </c>
      <c r="AC34" s="30" t="s">
        <v>64</v>
      </c>
      <c r="AD34" s="27"/>
      <c r="AE34" s="27"/>
      <c r="AF34" s="27"/>
      <c r="AG34" s="27"/>
      <c r="AH34" s="27"/>
      <c r="AI34" s="27"/>
      <c r="AJ34" s="27"/>
    </row>
    <row r="35" spans="1:36" customFormat="1" ht="76.5" customHeight="1" x14ac:dyDescent="0.3">
      <c r="A35" s="96"/>
      <c r="B35" s="96"/>
      <c r="C35" s="96"/>
      <c r="D35" s="96"/>
      <c r="E35" s="20" t="s">
        <v>27</v>
      </c>
      <c r="F35" s="20"/>
      <c r="G35" s="21" t="s">
        <v>28</v>
      </c>
      <c r="H35" s="22" t="s">
        <v>29</v>
      </c>
      <c r="I35" s="21">
        <v>1</v>
      </c>
      <c r="J35" s="21">
        <v>1</v>
      </c>
      <c r="K35" s="21">
        <v>1</v>
      </c>
      <c r="L35" s="21">
        <v>3</v>
      </c>
      <c r="M35" s="21">
        <f t="shared" si="0"/>
        <v>6</v>
      </c>
      <c r="N35" s="23">
        <v>1</v>
      </c>
      <c r="O35" s="24">
        <f t="shared" si="1"/>
        <v>6</v>
      </c>
      <c r="P35" s="25" t="str">
        <f t="shared" si="2"/>
        <v>Tolerable</v>
      </c>
      <c r="Q35" s="25" t="str">
        <f t="shared" si="3"/>
        <v>NO</v>
      </c>
      <c r="R35" s="26" t="s">
        <v>183</v>
      </c>
      <c r="S35" s="23" t="s">
        <v>49</v>
      </c>
      <c r="T35" s="21">
        <v>1</v>
      </c>
      <c r="U35" s="21">
        <v>1</v>
      </c>
      <c r="V35" s="21">
        <v>1</v>
      </c>
      <c r="W35" s="21">
        <v>3</v>
      </c>
      <c r="X35" s="21">
        <f t="shared" si="7"/>
        <v>6</v>
      </c>
      <c r="Y35" s="23">
        <v>1</v>
      </c>
      <c r="Z35" s="24">
        <f t="shared" si="4"/>
        <v>6</v>
      </c>
      <c r="AA35" s="25" t="str">
        <f t="shared" si="8"/>
        <v>Tolerable</v>
      </c>
      <c r="AB35" s="25" t="str">
        <f t="shared" si="9"/>
        <v>NO</v>
      </c>
      <c r="AC35" s="26" t="s">
        <v>32</v>
      </c>
      <c r="AD35" s="27"/>
      <c r="AE35" s="27"/>
      <c r="AF35" s="27"/>
      <c r="AG35" s="27"/>
      <c r="AH35" s="27"/>
      <c r="AI35" s="27"/>
      <c r="AJ35" s="27"/>
    </row>
    <row r="36" spans="1:36" customFormat="1" ht="56.25" customHeight="1" x14ac:dyDescent="0.3">
      <c r="A36" s="94">
        <v>4</v>
      </c>
      <c r="B36" s="94" t="s">
        <v>185</v>
      </c>
      <c r="C36" s="94" t="s">
        <v>186</v>
      </c>
      <c r="D36" s="94" t="s">
        <v>187</v>
      </c>
      <c r="E36" s="20"/>
      <c r="F36" s="28" t="s">
        <v>27</v>
      </c>
      <c r="G36" s="21" t="s">
        <v>42</v>
      </c>
      <c r="H36" s="21" t="s">
        <v>43</v>
      </c>
      <c r="I36" s="21">
        <v>1</v>
      </c>
      <c r="J36" s="21">
        <v>2</v>
      </c>
      <c r="K36" s="21">
        <v>2</v>
      </c>
      <c r="L36" s="21">
        <v>3</v>
      </c>
      <c r="M36" s="21">
        <f t="shared" si="0"/>
        <v>8</v>
      </c>
      <c r="N36" s="21">
        <v>2</v>
      </c>
      <c r="O36" s="24">
        <f t="shared" si="1"/>
        <v>16</v>
      </c>
      <c r="P36" s="25" t="str">
        <f t="shared" si="2"/>
        <v>Moderado</v>
      </c>
      <c r="Q36" s="25" t="str">
        <f t="shared" si="3"/>
        <v>NO</v>
      </c>
      <c r="R36" s="26" t="s">
        <v>44</v>
      </c>
      <c r="S36" s="22" t="s">
        <v>49</v>
      </c>
      <c r="T36" s="21">
        <v>1</v>
      </c>
      <c r="U36" s="21">
        <v>1</v>
      </c>
      <c r="V36" s="21">
        <v>1</v>
      </c>
      <c r="W36" s="21">
        <v>3</v>
      </c>
      <c r="X36" s="21">
        <f t="shared" si="7"/>
        <v>6</v>
      </c>
      <c r="Y36" s="21">
        <v>1</v>
      </c>
      <c r="Z36" s="24">
        <f t="shared" si="4"/>
        <v>6</v>
      </c>
      <c r="AA36" s="25" t="str">
        <f t="shared" si="8"/>
        <v>Tolerable</v>
      </c>
      <c r="AB36" s="25" t="str">
        <f t="shared" si="9"/>
        <v>NO</v>
      </c>
      <c r="AC36" s="26" t="s">
        <v>32</v>
      </c>
      <c r="AD36" s="27"/>
      <c r="AE36" s="27"/>
      <c r="AF36" s="27"/>
      <c r="AG36" s="27"/>
      <c r="AH36" s="27"/>
      <c r="AI36" s="27"/>
      <c r="AJ36" s="27"/>
    </row>
    <row r="37" spans="1:36" customFormat="1" ht="30" customHeight="1" x14ac:dyDescent="0.3">
      <c r="A37" s="95"/>
      <c r="B37" s="95"/>
      <c r="C37" s="95"/>
      <c r="D37" s="95"/>
      <c r="E37" s="28"/>
      <c r="F37" s="28" t="s">
        <v>27</v>
      </c>
      <c r="G37" s="21" t="s">
        <v>65</v>
      </c>
      <c r="H37" s="21" t="s">
        <v>66</v>
      </c>
      <c r="I37" s="21">
        <v>1</v>
      </c>
      <c r="J37" s="21">
        <v>1</v>
      </c>
      <c r="K37" s="21">
        <v>2</v>
      </c>
      <c r="L37" s="21">
        <v>3</v>
      </c>
      <c r="M37" s="21">
        <f t="shared" si="0"/>
        <v>7</v>
      </c>
      <c r="N37" s="21">
        <v>2</v>
      </c>
      <c r="O37" s="24">
        <f t="shared" si="1"/>
        <v>14</v>
      </c>
      <c r="P37" s="25" t="str">
        <f t="shared" si="2"/>
        <v>Moderado</v>
      </c>
      <c r="Q37" s="25" t="str">
        <f t="shared" si="3"/>
        <v>NO</v>
      </c>
      <c r="R37" s="26" t="s">
        <v>67</v>
      </c>
      <c r="S37" s="22" t="s">
        <v>175</v>
      </c>
      <c r="T37" s="21">
        <v>1</v>
      </c>
      <c r="U37" s="21">
        <v>1</v>
      </c>
      <c r="V37" s="21">
        <v>1</v>
      </c>
      <c r="W37" s="21">
        <v>3</v>
      </c>
      <c r="X37" s="21">
        <f t="shared" si="7"/>
        <v>6</v>
      </c>
      <c r="Y37" s="21">
        <v>2</v>
      </c>
      <c r="Z37" s="24">
        <f t="shared" si="4"/>
        <v>12</v>
      </c>
      <c r="AA37" s="25" t="str">
        <f t="shared" si="8"/>
        <v>Moderado</v>
      </c>
      <c r="AB37" s="25" t="str">
        <f t="shared" si="9"/>
        <v>NO</v>
      </c>
      <c r="AC37" s="26" t="s">
        <v>152</v>
      </c>
      <c r="AD37" s="27"/>
      <c r="AE37" s="27"/>
      <c r="AF37" s="27"/>
      <c r="AG37" s="27"/>
      <c r="AH37" s="27"/>
      <c r="AI37" s="27"/>
      <c r="AJ37" s="27"/>
    </row>
    <row r="38" spans="1:36" customFormat="1" ht="37.5" customHeight="1" x14ac:dyDescent="0.3">
      <c r="A38" s="95"/>
      <c r="B38" s="95"/>
      <c r="C38" s="95"/>
      <c r="D38" s="95"/>
      <c r="E38" s="20"/>
      <c r="F38" s="28" t="s">
        <v>27</v>
      </c>
      <c r="G38" s="21" t="s">
        <v>188</v>
      </c>
      <c r="H38" s="21" t="s">
        <v>189</v>
      </c>
      <c r="I38" s="21">
        <v>1</v>
      </c>
      <c r="J38" s="21">
        <v>1</v>
      </c>
      <c r="K38" s="21">
        <v>1</v>
      </c>
      <c r="L38" s="21">
        <v>2</v>
      </c>
      <c r="M38" s="21">
        <f t="shared" si="0"/>
        <v>5</v>
      </c>
      <c r="N38" s="21">
        <v>2</v>
      </c>
      <c r="O38" s="24">
        <f t="shared" si="1"/>
        <v>10</v>
      </c>
      <c r="P38" s="40" t="s">
        <v>150</v>
      </c>
      <c r="Q38" s="25" t="s">
        <v>143</v>
      </c>
      <c r="R38" s="26" t="s">
        <v>190</v>
      </c>
      <c r="S38" s="22" t="s">
        <v>191</v>
      </c>
      <c r="T38" s="21">
        <v>1</v>
      </c>
      <c r="U38" s="21">
        <v>1</v>
      </c>
      <c r="V38" s="21">
        <v>1</v>
      </c>
      <c r="W38" s="21">
        <v>2</v>
      </c>
      <c r="X38" s="21">
        <f t="shared" si="7"/>
        <v>5</v>
      </c>
      <c r="Y38" s="21">
        <v>1</v>
      </c>
      <c r="Z38" s="24">
        <f t="shared" si="4"/>
        <v>5</v>
      </c>
      <c r="AA38" s="44" t="s">
        <v>151</v>
      </c>
      <c r="AB38" s="25" t="s">
        <v>143</v>
      </c>
      <c r="AC38" s="26" t="s">
        <v>192</v>
      </c>
      <c r="AD38" s="27"/>
      <c r="AE38" s="27"/>
      <c r="AF38" s="27"/>
      <c r="AG38" s="27"/>
      <c r="AH38" s="27"/>
      <c r="AI38" s="27"/>
      <c r="AJ38" s="27"/>
    </row>
    <row r="39" spans="1:36" customFormat="1" ht="39" customHeight="1" x14ac:dyDescent="0.3">
      <c r="A39" s="95"/>
      <c r="B39" s="95"/>
      <c r="C39" s="95"/>
      <c r="D39" s="95"/>
      <c r="E39" s="20" t="s">
        <v>27</v>
      </c>
      <c r="F39" s="20"/>
      <c r="G39" s="21" t="s">
        <v>38</v>
      </c>
      <c r="H39" s="21" t="s">
        <v>193</v>
      </c>
      <c r="I39" s="21">
        <v>1</v>
      </c>
      <c r="J39" s="21">
        <v>1</v>
      </c>
      <c r="K39" s="21">
        <v>1</v>
      </c>
      <c r="L39" s="21">
        <v>3</v>
      </c>
      <c r="M39" s="21">
        <f t="shared" si="0"/>
        <v>6</v>
      </c>
      <c r="N39" s="22">
        <v>2</v>
      </c>
      <c r="O39" s="24">
        <f t="shared" si="1"/>
        <v>12</v>
      </c>
      <c r="P39" s="25" t="str">
        <f t="shared" ref="P39:P74" si="10">IF(G39="No","It",IF(O39&lt;=4,"Trivial",IF(O39&lt;=8,"Tolerable",IF(O39&lt;=16,"Moderado",IF(O39&lt;=24,"Importante",IF(O39&lt;=36,"No Aceptable"))))))</f>
        <v>Moderado</v>
      </c>
      <c r="Q39" s="25" t="str">
        <f t="shared" ref="Q39:Q74" si="11">IF(P39="Trivial","NO",IF(P39="Tolerable","NO",IF(P39="Moderado","NO",IF(P39="Importante","SÍ",IF(P39="No Aceptable","SÍ")))))</f>
        <v>NO</v>
      </c>
      <c r="R39" s="26" t="s">
        <v>194</v>
      </c>
      <c r="S39" s="22" t="s">
        <v>138</v>
      </c>
      <c r="T39" s="21">
        <v>1</v>
      </c>
      <c r="U39" s="21">
        <v>1</v>
      </c>
      <c r="V39" s="21">
        <v>1</v>
      </c>
      <c r="W39" s="21">
        <v>3</v>
      </c>
      <c r="X39" s="21">
        <f t="shared" si="7"/>
        <v>6</v>
      </c>
      <c r="Y39" s="22">
        <v>1</v>
      </c>
      <c r="Z39" s="24">
        <f t="shared" si="4"/>
        <v>6</v>
      </c>
      <c r="AA39" s="25" t="str">
        <f t="shared" ref="AA39:AA74" si="12">IF(R39="No","It",IF(Z39&lt;=4,"Trivial",IF(Z39&lt;=8,"Tolerable",IF(Z39&lt;=16,"Moderado",IF(Z39&lt;=24,"Importante",IF(Z39&lt;=36,"No Aceptable"))))))</f>
        <v>Tolerable</v>
      </c>
      <c r="AB39" s="25" t="str">
        <f t="shared" ref="AB39:AB73" si="13">IF(AA39="Trivial","NO",IF(AA39="Tolerable","NO",IF(AA39="Moderado","NO",IF(AA39="Importante","SÍ",IF(AA39="No Aceptable","SÍ")))))</f>
        <v>NO</v>
      </c>
      <c r="AC39" s="26" t="s">
        <v>111</v>
      </c>
      <c r="AD39" s="27"/>
      <c r="AE39" s="27"/>
      <c r="AF39" s="27"/>
      <c r="AG39" s="27"/>
      <c r="AH39" s="27"/>
      <c r="AI39" s="27"/>
      <c r="AJ39" s="27"/>
    </row>
    <row r="40" spans="1:36" customFormat="1" ht="63" customHeight="1" x14ac:dyDescent="0.3">
      <c r="A40" s="95"/>
      <c r="B40" s="95"/>
      <c r="C40" s="95"/>
      <c r="D40" s="95"/>
      <c r="E40" s="20" t="s">
        <v>27</v>
      </c>
      <c r="F40" s="20"/>
      <c r="G40" s="22" t="s">
        <v>33</v>
      </c>
      <c r="H40" s="22" t="s">
        <v>117</v>
      </c>
      <c r="I40" s="22">
        <v>1</v>
      </c>
      <c r="J40" s="21">
        <v>1</v>
      </c>
      <c r="K40" s="21">
        <v>1</v>
      </c>
      <c r="L40" s="21">
        <v>3</v>
      </c>
      <c r="M40" s="21">
        <f t="shared" si="0"/>
        <v>6</v>
      </c>
      <c r="N40" s="22">
        <v>1</v>
      </c>
      <c r="O40" s="24">
        <f t="shared" si="1"/>
        <v>6</v>
      </c>
      <c r="P40" s="25" t="str">
        <f t="shared" si="10"/>
        <v>Tolerable</v>
      </c>
      <c r="Q40" s="25" t="str">
        <f t="shared" si="11"/>
        <v>NO</v>
      </c>
      <c r="R40" s="26" t="s">
        <v>118</v>
      </c>
      <c r="S40" s="22" t="s">
        <v>36</v>
      </c>
      <c r="T40" s="22">
        <v>1</v>
      </c>
      <c r="U40" s="21">
        <v>1</v>
      </c>
      <c r="V40" s="21">
        <v>1</v>
      </c>
      <c r="W40" s="21">
        <v>3</v>
      </c>
      <c r="X40" s="21">
        <f t="shared" si="7"/>
        <v>6</v>
      </c>
      <c r="Y40" s="22">
        <v>1</v>
      </c>
      <c r="Z40" s="24">
        <f t="shared" si="4"/>
        <v>6</v>
      </c>
      <c r="AA40" s="25" t="str">
        <f t="shared" si="12"/>
        <v>Tolerable</v>
      </c>
      <c r="AB40" s="25" t="str">
        <f t="shared" si="13"/>
        <v>NO</v>
      </c>
      <c r="AC40" s="26" t="s">
        <v>32</v>
      </c>
      <c r="AD40" s="27"/>
      <c r="AE40" s="27"/>
      <c r="AF40" s="27"/>
      <c r="AG40" s="27"/>
      <c r="AH40" s="27"/>
      <c r="AI40" s="27"/>
      <c r="AJ40" s="27"/>
    </row>
    <row r="41" spans="1:36" customFormat="1" ht="51" customHeight="1" x14ac:dyDescent="0.3">
      <c r="A41" s="95"/>
      <c r="B41" s="95"/>
      <c r="C41" s="95"/>
      <c r="D41" s="95"/>
      <c r="E41" s="20" t="s">
        <v>27</v>
      </c>
      <c r="F41" s="20"/>
      <c r="G41" s="22" t="s">
        <v>195</v>
      </c>
      <c r="H41" s="22" t="s">
        <v>196</v>
      </c>
      <c r="I41" s="22">
        <v>1</v>
      </c>
      <c r="J41" s="21">
        <v>1</v>
      </c>
      <c r="K41" s="21">
        <v>1</v>
      </c>
      <c r="L41" s="21">
        <v>3</v>
      </c>
      <c r="M41" s="21">
        <f t="shared" si="0"/>
        <v>6</v>
      </c>
      <c r="N41" s="22">
        <v>2</v>
      </c>
      <c r="O41" s="24">
        <f t="shared" si="1"/>
        <v>12</v>
      </c>
      <c r="P41" s="25" t="str">
        <f t="shared" si="10"/>
        <v>Moderado</v>
      </c>
      <c r="Q41" s="25" t="str">
        <f t="shared" si="11"/>
        <v>NO</v>
      </c>
      <c r="R41" s="26" t="s">
        <v>197</v>
      </c>
      <c r="S41" s="22" t="s">
        <v>198</v>
      </c>
      <c r="T41" s="22">
        <v>1</v>
      </c>
      <c r="U41" s="21">
        <v>1</v>
      </c>
      <c r="V41" s="21">
        <v>1</v>
      </c>
      <c r="W41" s="21">
        <v>3</v>
      </c>
      <c r="X41" s="21">
        <f t="shared" si="7"/>
        <v>6</v>
      </c>
      <c r="Y41" s="22">
        <v>1</v>
      </c>
      <c r="Z41" s="24">
        <f t="shared" si="4"/>
        <v>6</v>
      </c>
      <c r="AA41" s="25" t="str">
        <f t="shared" si="12"/>
        <v>Tolerable</v>
      </c>
      <c r="AB41" s="25" t="str">
        <f t="shared" si="13"/>
        <v>NO</v>
      </c>
      <c r="AC41" s="26" t="s">
        <v>94</v>
      </c>
      <c r="AD41" s="27"/>
      <c r="AE41" s="27"/>
      <c r="AF41" s="27"/>
      <c r="AG41" s="27"/>
      <c r="AH41" s="27"/>
      <c r="AI41" s="27"/>
      <c r="AJ41" s="27"/>
    </row>
    <row r="42" spans="1:36" customFormat="1" ht="33" customHeight="1" x14ac:dyDescent="0.3">
      <c r="A42" s="95"/>
      <c r="B42" s="95"/>
      <c r="C42" s="95"/>
      <c r="D42" s="95"/>
      <c r="E42" s="20"/>
      <c r="F42" s="28" t="s">
        <v>27</v>
      </c>
      <c r="G42" s="21" t="s">
        <v>56</v>
      </c>
      <c r="H42" s="21" t="s">
        <v>102</v>
      </c>
      <c r="I42" s="21">
        <v>1</v>
      </c>
      <c r="J42" s="21">
        <v>1</v>
      </c>
      <c r="K42" s="21">
        <v>1</v>
      </c>
      <c r="L42" s="21">
        <v>3</v>
      </c>
      <c r="M42" s="21">
        <f t="shared" si="0"/>
        <v>6</v>
      </c>
      <c r="N42" s="22">
        <v>2</v>
      </c>
      <c r="O42" s="24">
        <f t="shared" si="1"/>
        <v>12</v>
      </c>
      <c r="P42" s="25" t="str">
        <f t="shared" si="10"/>
        <v>Moderado</v>
      </c>
      <c r="Q42" s="25" t="str">
        <f t="shared" si="11"/>
        <v>NO</v>
      </c>
      <c r="R42" s="26" t="s">
        <v>58</v>
      </c>
      <c r="S42" s="22" t="s">
        <v>199</v>
      </c>
      <c r="T42" s="21">
        <v>1</v>
      </c>
      <c r="U42" s="21">
        <v>1</v>
      </c>
      <c r="V42" s="21">
        <v>1</v>
      </c>
      <c r="W42" s="21">
        <v>3</v>
      </c>
      <c r="X42" s="21">
        <f t="shared" si="7"/>
        <v>6</v>
      </c>
      <c r="Y42" s="22">
        <v>1</v>
      </c>
      <c r="Z42" s="24">
        <f t="shared" si="4"/>
        <v>6</v>
      </c>
      <c r="AA42" s="25" t="str">
        <f t="shared" si="12"/>
        <v>Tolerable</v>
      </c>
      <c r="AB42" s="25" t="str">
        <f t="shared" si="13"/>
        <v>NO</v>
      </c>
      <c r="AC42" s="26" t="s">
        <v>32</v>
      </c>
      <c r="AD42" s="27"/>
      <c r="AE42" s="27"/>
      <c r="AF42" s="27"/>
      <c r="AG42" s="27"/>
      <c r="AH42" s="27"/>
      <c r="AI42" s="27"/>
      <c r="AJ42" s="27"/>
    </row>
    <row r="43" spans="1:36" customFormat="1" ht="76.5" customHeight="1" x14ac:dyDescent="0.3">
      <c r="A43" s="95"/>
      <c r="B43" s="95"/>
      <c r="C43" s="95"/>
      <c r="D43" s="95"/>
      <c r="E43" s="21"/>
      <c r="F43" s="20" t="s">
        <v>27</v>
      </c>
      <c r="G43" s="22" t="s">
        <v>60</v>
      </c>
      <c r="H43" s="22" t="s">
        <v>61</v>
      </c>
      <c r="I43" s="23">
        <v>1</v>
      </c>
      <c r="J43" s="23">
        <v>1</v>
      </c>
      <c r="K43" s="23">
        <v>1</v>
      </c>
      <c r="L43" s="23">
        <v>3</v>
      </c>
      <c r="M43" s="21">
        <f t="shared" si="0"/>
        <v>6</v>
      </c>
      <c r="N43" s="23">
        <v>3</v>
      </c>
      <c r="O43" s="24">
        <f t="shared" si="1"/>
        <v>18</v>
      </c>
      <c r="P43" s="25" t="str">
        <f t="shared" si="10"/>
        <v>Importante</v>
      </c>
      <c r="Q43" s="25" t="str">
        <f t="shared" si="11"/>
        <v>SÍ</v>
      </c>
      <c r="R43" s="26" t="s">
        <v>62</v>
      </c>
      <c r="S43" s="22" t="s">
        <v>63</v>
      </c>
      <c r="T43" s="23">
        <v>1</v>
      </c>
      <c r="U43" s="23">
        <v>1</v>
      </c>
      <c r="V43" s="23">
        <v>1</v>
      </c>
      <c r="W43" s="23">
        <v>3</v>
      </c>
      <c r="X43" s="21">
        <f t="shared" si="7"/>
        <v>6</v>
      </c>
      <c r="Y43" s="23">
        <v>2</v>
      </c>
      <c r="Z43" s="24">
        <f t="shared" si="4"/>
        <v>12</v>
      </c>
      <c r="AA43" s="25" t="str">
        <f t="shared" si="12"/>
        <v>Moderado</v>
      </c>
      <c r="AB43" s="25" t="str">
        <f t="shared" si="13"/>
        <v>NO</v>
      </c>
      <c r="AC43" s="30" t="s">
        <v>64</v>
      </c>
      <c r="AD43" s="27"/>
      <c r="AE43" s="27"/>
      <c r="AF43" s="27"/>
      <c r="AG43" s="27"/>
      <c r="AH43" s="27"/>
      <c r="AI43" s="27"/>
      <c r="AJ43" s="27"/>
    </row>
    <row r="44" spans="1:36" customFormat="1" ht="77.25" customHeight="1" x14ac:dyDescent="0.3">
      <c r="A44" s="95"/>
      <c r="B44" s="95"/>
      <c r="C44" s="95"/>
      <c r="D44" s="95"/>
      <c r="E44" s="20"/>
      <c r="F44" s="28" t="s">
        <v>27</v>
      </c>
      <c r="G44" s="23" t="s">
        <v>182</v>
      </c>
      <c r="H44" s="39" t="s">
        <v>162</v>
      </c>
      <c r="I44" s="22">
        <v>1</v>
      </c>
      <c r="J44" s="21">
        <v>2</v>
      </c>
      <c r="K44" s="21">
        <v>2</v>
      </c>
      <c r="L44" s="21">
        <v>3</v>
      </c>
      <c r="M44" s="21">
        <f t="shared" si="0"/>
        <v>8</v>
      </c>
      <c r="N44" s="22">
        <v>2</v>
      </c>
      <c r="O44" s="24">
        <f t="shared" si="1"/>
        <v>16</v>
      </c>
      <c r="P44" s="25" t="str">
        <f t="shared" si="10"/>
        <v>Moderado</v>
      </c>
      <c r="Q44" s="25" t="str">
        <f t="shared" si="11"/>
        <v>NO</v>
      </c>
      <c r="R44" s="30" t="s">
        <v>97</v>
      </c>
      <c r="S44" s="22" t="s">
        <v>176</v>
      </c>
      <c r="T44" s="22">
        <v>1</v>
      </c>
      <c r="U44" s="21">
        <v>1</v>
      </c>
      <c r="V44" s="21">
        <v>2</v>
      </c>
      <c r="W44" s="21">
        <v>3</v>
      </c>
      <c r="X44" s="21">
        <f t="shared" si="7"/>
        <v>7</v>
      </c>
      <c r="Y44" s="22">
        <v>1</v>
      </c>
      <c r="Z44" s="24">
        <f t="shared" si="4"/>
        <v>7</v>
      </c>
      <c r="AA44" s="25" t="str">
        <f t="shared" si="12"/>
        <v>Tolerable</v>
      </c>
      <c r="AB44" s="25" t="str">
        <f t="shared" si="13"/>
        <v>NO</v>
      </c>
      <c r="AC44" s="26" t="s">
        <v>32</v>
      </c>
      <c r="AD44" s="27"/>
      <c r="AE44" s="27"/>
      <c r="AF44" s="27"/>
      <c r="AG44" s="27"/>
      <c r="AH44" s="27"/>
      <c r="AI44" s="27"/>
      <c r="AJ44" s="27"/>
    </row>
    <row r="45" spans="1:36" customFormat="1" ht="72.75" customHeight="1" x14ac:dyDescent="0.3">
      <c r="A45" s="96"/>
      <c r="B45" s="96"/>
      <c r="C45" s="96"/>
      <c r="D45" s="96"/>
      <c r="E45" s="20"/>
      <c r="F45" s="20" t="s">
        <v>27</v>
      </c>
      <c r="G45" s="22" t="s">
        <v>200</v>
      </c>
      <c r="H45" s="22" t="s">
        <v>201</v>
      </c>
      <c r="I45" s="23">
        <v>1</v>
      </c>
      <c r="J45" s="21">
        <v>1</v>
      </c>
      <c r="K45" s="21">
        <v>1</v>
      </c>
      <c r="L45" s="21">
        <v>3</v>
      </c>
      <c r="M45" s="21">
        <f t="shared" si="0"/>
        <v>6</v>
      </c>
      <c r="N45" s="23">
        <v>2</v>
      </c>
      <c r="O45" s="24">
        <f t="shared" si="1"/>
        <v>12</v>
      </c>
      <c r="P45" s="25" t="str">
        <f t="shared" si="10"/>
        <v>Moderado</v>
      </c>
      <c r="Q45" s="25" t="str">
        <f t="shared" si="11"/>
        <v>NO</v>
      </c>
      <c r="R45" s="26" t="s">
        <v>74</v>
      </c>
      <c r="S45" s="22" t="s">
        <v>202</v>
      </c>
      <c r="T45" s="23">
        <v>1</v>
      </c>
      <c r="U45" s="21">
        <v>1</v>
      </c>
      <c r="V45" s="21">
        <v>1</v>
      </c>
      <c r="W45" s="21">
        <v>3</v>
      </c>
      <c r="X45" s="21">
        <f t="shared" si="7"/>
        <v>6</v>
      </c>
      <c r="Y45" s="23">
        <v>1</v>
      </c>
      <c r="Z45" s="24">
        <f t="shared" si="4"/>
        <v>6</v>
      </c>
      <c r="AA45" s="25" t="str">
        <f t="shared" si="12"/>
        <v>Tolerable</v>
      </c>
      <c r="AB45" s="25" t="str">
        <f t="shared" si="13"/>
        <v>NO</v>
      </c>
      <c r="AC45" s="26" t="s">
        <v>76</v>
      </c>
      <c r="AD45" s="27"/>
      <c r="AE45" s="27"/>
      <c r="AF45" s="27"/>
      <c r="AG45" s="27"/>
      <c r="AH45" s="27"/>
      <c r="AI45" s="27"/>
      <c r="AJ45" s="27"/>
    </row>
    <row r="46" spans="1:36" customFormat="1" ht="76.5" customHeight="1" x14ac:dyDescent="0.3">
      <c r="A46" s="107">
        <v>5</v>
      </c>
      <c r="B46" s="110" t="s">
        <v>24</v>
      </c>
      <c r="C46" s="111" t="s">
        <v>25</v>
      </c>
      <c r="D46" s="111" t="s">
        <v>26</v>
      </c>
      <c r="E46" s="73"/>
      <c r="F46" s="70" t="s">
        <v>27</v>
      </c>
      <c r="G46" s="21" t="s">
        <v>28</v>
      </c>
      <c r="H46" s="22" t="s">
        <v>29</v>
      </c>
      <c r="I46" s="23">
        <v>1</v>
      </c>
      <c r="J46" s="23">
        <v>2</v>
      </c>
      <c r="K46" s="23">
        <v>1</v>
      </c>
      <c r="L46" s="23">
        <v>2</v>
      </c>
      <c r="M46" s="21">
        <f t="shared" si="0"/>
        <v>6</v>
      </c>
      <c r="N46" s="23">
        <v>1</v>
      </c>
      <c r="O46" s="24">
        <f t="shared" si="1"/>
        <v>6</v>
      </c>
      <c r="P46" s="25" t="str">
        <f t="shared" si="10"/>
        <v>Tolerable</v>
      </c>
      <c r="Q46" s="25" t="str">
        <f t="shared" si="11"/>
        <v>NO</v>
      </c>
      <c r="R46" s="26" t="s">
        <v>30</v>
      </c>
      <c r="S46" s="22" t="s">
        <v>31</v>
      </c>
      <c r="T46" s="23">
        <v>1</v>
      </c>
      <c r="U46" s="23">
        <v>1</v>
      </c>
      <c r="V46" s="23">
        <v>1</v>
      </c>
      <c r="W46" s="23">
        <v>2</v>
      </c>
      <c r="X46" s="21">
        <f t="shared" si="7"/>
        <v>5</v>
      </c>
      <c r="Y46" s="23">
        <v>1</v>
      </c>
      <c r="Z46" s="24">
        <f t="shared" si="4"/>
        <v>5</v>
      </c>
      <c r="AA46" s="25" t="str">
        <f t="shared" si="12"/>
        <v>Tolerable</v>
      </c>
      <c r="AB46" s="25" t="str">
        <f t="shared" si="13"/>
        <v>NO</v>
      </c>
      <c r="AC46" s="26" t="s">
        <v>32</v>
      </c>
      <c r="AD46" s="27"/>
      <c r="AE46" s="27"/>
      <c r="AF46" s="27"/>
      <c r="AG46" s="27"/>
      <c r="AH46" s="27"/>
      <c r="AI46" s="27"/>
      <c r="AJ46" s="27"/>
    </row>
    <row r="47" spans="1:36" customFormat="1" ht="76.5" customHeight="1" x14ac:dyDescent="0.3">
      <c r="A47" s="108"/>
      <c r="B47" s="110"/>
      <c r="C47" s="111"/>
      <c r="D47" s="111"/>
      <c r="E47" s="73"/>
      <c r="F47" s="70" t="s">
        <v>27</v>
      </c>
      <c r="G47" s="22" t="s">
        <v>33</v>
      </c>
      <c r="H47" s="22" t="s">
        <v>34</v>
      </c>
      <c r="I47" s="23">
        <v>1</v>
      </c>
      <c r="J47" s="23">
        <v>1</v>
      </c>
      <c r="K47" s="23">
        <v>1</v>
      </c>
      <c r="L47" s="23">
        <v>2</v>
      </c>
      <c r="M47" s="21">
        <f t="shared" si="0"/>
        <v>5</v>
      </c>
      <c r="N47" s="23">
        <v>1</v>
      </c>
      <c r="O47" s="24">
        <f t="shared" si="1"/>
        <v>5</v>
      </c>
      <c r="P47" s="25" t="str">
        <f t="shared" si="10"/>
        <v>Tolerable</v>
      </c>
      <c r="Q47" s="25" t="str">
        <f t="shared" si="11"/>
        <v>NO</v>
      </c>
      <c r="R47" s="26" t="s">
        <v>35</v>
      </c>
      <c r="S47" s="22" t="s">
        <v>36</v>
      </c>
      <c r="T47" s="23">
        <v>1</v>
      </c>
      <c r="U47" s="23">
        <v>1</v>
      </c>
      <c r="V47" s="23">
        <v>1</v>
      </c>
      <c r="W47" s="23">
        <v>2</v>
      </c>
      <c r="X47" s="21">
        <f t="shared" si="7"/>
        <v>5</v>
      </c>
      <c r="Y47" s="23">
        <v>1</v>
      </c>
      <c r="Z47" s="24">
        <f t="shared" si="4"/>
        <v>5</v>
      </c>
      <c r="AA47" s="25" t="str">
        <f t="shared" si="12"/>
        <v>Tolerable</v>
      </c>
      <c r="AB47" s="25" t="str">
        <f t="shared" si="13"/>
        <v>NO</v>
      </c>
      <c r="AC47" s="26" t="s">
        <v>37</v>
      </c>
      <c r="AD47" s="27"/>
      <c r="AE47" s="27"/>
      <c r="AF47" s="27"/>
      <c r="AG47" s="27"/>
      <c r="AH47" s="27"/>
      <c r="AI47" s="27"/>
      <c r="AJ47" s="27"/>
    </row>
    <row r="48" spans="1:36" customFormat="1" ht="76.5" customHeight="1" x14ac:dyDescent="0.3">
      <c r="A48" s="108"/>
      <c r="B48" s="110"/>
      <c r="C48" s="111"/>
      <c r="D48" s="111"/>
      <c r="E48" s="73"/>
      <c r="F48" s="70" t="s">
        <v>27</v>
      </c>
      <c r="G48" s="21" t="s">
        <v>38</v>
      </c>
      <c r="H48" s="21" t="s">
        <v>39</v>
      </c>
      <c r="I48" s="23">
        <v>1</v>
      </c>
      <c r="J48" s="23">
        <v>1</v>
      </c>
      <c r="K48" s="23">
        <v>1</v>
      </c>
      <c r="L48" s="23">
        <v>2</v>
      </c>
      <c r="M48" s="21">
        <f t="shared" si="0"/>
        <v>5</v>
      </c>
      <c r="N48" s="23">
        <v>1</v>
      </c>
      <c r="O48" s="24">
        <f t="shared" si="1"/>
        <v>5</v>
      </c>
      <c r="P48" s="25" t="str">
        <f t="shared" si="10"/>
        <v>Tolerable</v>
      </c>
      <c r="Q48" s="25" t="str">
        <f t="shared" si="11"/>
        <v>NO</v>
      </c>
      <c r="R48" s="26" t="s">
        <v>40</v>
      </c>
      <c r="S48" s="22" t="s">
        <v>41</v>
      </c>
      <c r="T48" s="23">
        <v>1</v>
      </c>
      <c r="U48" s="23">
        <v>1</v>
      </c>
      <c r="V48" s="23">
        <v>1</v>
      </c>
      <c r="W48" s="23">
        <v>2</v>
      </c>
      <c r="X48" s="21">
        <f t="shared" si="7"/>
        <v>5</v>
      </c>
      <c r="Y48" s="23">
        <v>1</v>
      </c>
      <c r="Z48" s="24">
        <f t="shared" si="4"/>
        <v>5</v>
      </c>
      <c r="AA48" s="25" t="str">
        <f t="shared" si="12"/>
        <v>Tolerable</v>
      </c>
      <c r="AB48" s="25" t="str">
        <f t="shared" si="13"/>
        <v>NO</v>
      </c>
      <c r="AC48" s="26" t="s">
        <v>32</v>
      </c>
      <c r="AD48" s="27"/>
      <c r="AE48" s="27"/>
      <c r="AF48" s="27"/>
      <c r="AG48" s="27"/>
      <c r="AH48" s="27"/>
      <c r="AI48" s="27"/>
      <c r="AJ48" s="27"/>
    </row>
    <row r="49" spans="1:36" customFormat="1" ht="76.5" customHeight="1" x14ac:dyDescent="0.3">
      <c r="A49" s="108"/>
      <c r="B49" s="110"/>
      <c r="C49" s="111"/>
      <c r="D49" s="111"/>
      <c r="E49" s="74"/>
      <c r="F49" s="71" t="s">
        <v>27</v>
      </c>
      <c r="G49" s="21" t="s">
        <v>42</v>
      </c>
      <c r="H49" s="21" t="s">
        <v>43</v>
      </c>
      <c r="I49" s="23">
        <v>1</v>
      </c>
      <c r="J49" s="23">
        <v>1</v>
      </c>
      <c r="K49" s="23">
        <v>1</v>
      </c>
      <c r="L49" s="23">
        <v>2</v>
      </c>
      <c r="M49" s="21">
        <f t="shared" si="0"/>
        <v>5</v>
      </c>
      <c r="N49" s="23">
        <v>1</v>
      </c>
      <c r="O49" s="24">
        <f t="shared" si="1"/>
        <v>5</v>
      </c>
      <c r="P49" s="25" t="str">
        <f t="shared" si="10"/>
        <v>Tolerable</v>
      </c>
      <c r="Q49" s="25" t="str">
        <f t="shared" si="11"/>
        <v>NO</v>
      </c>
      <c r="R49" s="26" t="s">
        <v>44</v>
      </c>
      <c r="S49" s="22" t="s">
        <v>45</v>
      </c>
      <c r="T49" s="23">
        <v>1</v>
      </c>
      <c r="U49" s="23">
        <v>1</v>
      </c>
      <c r="V49" s="23">
        <v>1</v>
      </c>
      <c r="W49" s="23">
        <v>2</v>
      </c>
      <c r="X49" s="21">
        <f t="shared" si="7"/>
        <v>5</v>
      </c>
      <c r="Y49" s="23">
        <v>1</v>
      </c>
      <c r="Z49" s="24">
        <f t="shared" si="4"/>
        <v>5</v>
      </c>
      <c r="AA49" s="25" t="str">
        <f t="shared" si="12"/>
        <v>Tolerable</v>
      </c>
      <c r="AB49" s="25" t="str">
        <f t="shared" si="13"/>
        <v>NO</v>
      </c>
      <c r="AC49" s="26" t="s">
        <v>32</v>
      </c>
      <c r="AD49" s="27"/>
      <c r="AE49" s="27"/>
      <c r="AF49" s="27"/>
      <c r="AG49" s="27"/>
      <c r="AH49" s="27"/>
      <c r="AI49" s="27"/>
      <c r="AJ49" s="27"/>
    </row>
    <row r="50" spans="1:36" customFormat="1" ht="76.5" customHeight="1" x14ac:dyDescent="0.3">
      <c r="A50" s="108"/>
      <c r="B50" s="110"/>
      <c r="C50" s="111"/>
      <c r="D50" s="111"/>
      <c r="E50" s="74"/>
      <c r="F50" s="71" t="s">
        <v>27</v>
      </c>
      <c r="G50" s="21" t="s">
        <v>46</v>
      </c>
      <c r="H50" s="21" t="s">
        <v>47</v>
      </c>
      <c r="I50" s="23">
        <v>1</v>
      </c>
      <c r="J50" s="23">
        <v>1</v>
      </c>
      <c r="K50" s="23">
        <v>1</v>
      </c>
      <c r="L50" s="23">
        <v>2</v>
      </c>
      <c r="M50" s="21">
        <f t="shared" si="0"/>
        <v>5</v>
      </c>
      <c r="N50" s="23">
        <v>1</v>
      </c>
      <c r="O50" s="24">
        <f t="shared" si="1"/>
        <v>5</v>
      </c>
      <c r="P50" s="25" t="str">
        <f t="shared" si="10"/>
        <v>Tolerable</v>
      </c>
      <c r="Q50" s="25" t="str">
        <f t="shared" si="11"/>
        <v>NO</v>
      </c>
      <c r="R50" s="29" t="s">
        <v>48</v>
      </c>
      <c r="S50" s="23" t="s">
        <v>49</v>
      </c>
      <c r="T50" s="23">
        <v>1</v>
      </c>
      <c r="U50" s="23">
        <v>1</v>
      </c>
      <c r="V50" s="23">
        <v>1</v>
      </c>
      <c r="W50" s="23">
        <v>2</v>
      </c>
      <c r="X50" s="21">
        <f t="shared" si="7"/>
        <v>5</v>
      </c>
      <c r="Y50" s="23">
        <v>1</v>
      </c>
      <c r="Z50" s="24">
        <f t="shared" si="4"/>
        <v>5</v>
      </c>
      <c r="AA50" s="25" t="str">
        <f t="shared" si="12"/>
        <v>Tolerable</v>
      </c>
      <c r="AB50" s="25" t="str">
        <f t="shared" si="13"/>
        <v>NO</v>
      </c>
      <c r="AC50" s="26" t="s">
        <v>50</v>
      </c>
      <c r="AD50" s="27"/>
      <c r="AE50" s="27"/>
      <c r="AF50" s="27"/>
      <c r="AG50" s="27"/>
      <c r="AH50" s="27"/>
      <c r="AI50" s="27"/>
      <c r="AJ50" s="27"/>
    </row>
    <row r="51" spans="1:36" customFormat="1" ht="76.5" customHeight="1" x14ac:dyDescent="0.3">
      <c r="A51" s="108"/>
      <c r="B51" s="110"/>
      <c r="C51" s="111"/>
      <c r="D51" s="111"/>
      <c r="E51" s="72"/>
      <c r="F51" s="70" t="s">
        <v>27</v>
      </c>
      <c r="G51" s="23" t="s">
        <v>51</v>
      </c>
      <c r="H51" s="22" t="s">
        <v>52</v>
      </c>
      <c r="I51" s="23">
        <v>1</v>
      </c>
      <c r="J51" s="23">
        <v>1</v>
      </c>
      <c r="K51" s="23">
        <v>1</v>
      </c>
      <c r="L51" s="23">
        <v>2</v>
      </c>
      <c r="M51" s="21">
        <f t="shared" si="0"/>
        <v>5</v>
      </c>
      <c r="N51" s="23">
        <v>3</v>
      </c>
      <c r="O51" s="24">
        <f t="shared" si="1"/>
        <v>15</v>
      </c>
      <c r="P51" s="25" t="str">
        <f t="shared" si="10"/>
        <v>Moderado</v>
      </c>
      <c r="Q51" s="25" t="str">
        <f t="shared" si="11"/>
        <v>NO</v>
      </c>
      <c r="R51" s="26" t="s">
        <v>53</v>
      </c>
      <c r="S51" s="22" t="s">
        <v>54</v>
      </c>
      <c r="T51" s="23">
        <v>1</v>
      </c>
      <c r="U51" s="23">
        <v>1</v>
      </c>
      <c r="V51" s="23">
        <v>1</v>
      </c>
      <c r="W51" s="23">
        <v>2</v>
      </c>
      <c r="X51" s="21">
        <f t="shared" si="7"/>
        <v>5</v>
      </c>
      <c r="Y51" s="23">
        <v>2</v>
      </c>
      <c r="Z51" s="24">
        <f t="shared" si="4"/>
        <v>10</v>
      </c>
      <c r="AA51" s="25" t="str">
        <f t="shared" si="12"/>
        <v>Moderado</v>
      </c>
      <c r="AB51" s="25" t="str">
        <f t="shared" si="13"/>
        <v>NO</v>
      </c>
      <c r="AC51" s="26" t="s">
        <v>55</v>
      </c>
      <c r="AD51" s="27"/>
      <c r="AE51" s="27"/>
      <c r="AF51" s="27"/>
      <c r="AG51" s="27"/>
      <c r="AH51" s="27"/>
      <c r="AI51" s="27"/>
      <c r="AJ51" s="27"/>
    </row>
    <row r="52" spans="1:36" customFormat="1" ht="76.5" customHeight="1" x14ac:dyDescent="0.3">
      <c r="A52" s="108"/>
      <c r="B52" s="110"/>
      <c r="C52" s="111"/>
      <c r="D52" s="111"/>
      <c r="E52" s="74"/>
      <c r="F52" s="71" t="s">
        <v>27</v>
      </c>
      <c r="G52" s="21" t="s">
        <v>56</v>
      </c>
      <c r="H52" s="21" t="s">
        <v>57</v>
      </c>
      <c r="I52" s="23">
        <v>1</v>
      </c>
      <c r="J52" s="23">
        <v>1</v>
      </c>
      <c r="K52" s="23">
        <v>1</v>
      </c>
      <c r="L52" s="23">
        <v>2</v>
      </c>
      <c r="M52" s="21">
        <f t="shared" si="0"/>
        <v>5</v>
      </c>
      <c r="N52" s="23">
        <v>2</v>
      </c>
      <c r="O52" s="24">
        <f t="shared" si="1"/>
        <v>10</v>
      </c>
      <c r="P52" s="25" t="str">
        <f t="shared" si="10"/>
        <v>Moderado</v>
      </c>
      <c r="Q52" s="25" t="str">
        <f t="shared" si="11"/>
        <v>NO</v>
      </c>
      <c r="R52" s="26" t="s">
        <v>58</v>
      </c>
      <c r="S52" s="22" t="s">
        <v>59</v>
      </c>
      <c r="T52" s="23">
        <v>1</v>
      </c>
      <c r="U52" s="23">
        <v>1</v>
      </c>
      <c r="V52" s="23">
        <v>1</v>
      </c>
      <c r="W52" s="23">
        <v>2</v>
      </c>
      <c r="X52" s="21">
        <f t="shared" si="7"/>
        <v>5</v>
      </c>
      <c r="Y52" s="23">
        <v>1</v>
      </c>
      <c r="Z52" s="24">
        <f t="shared" si="4"/>
        <v>5</v>
      </c>
      <c r="AA52" s="25" t="str">
        <f t="shared" si="12"/>
        <v>Tolerable</v>
      </c>
      <c r="AB52" s="25" t="str">
        <f t="shared" si="13"/>
        <v>NO</v>
      </c>
      <c r="AC52" s="26" t="s">
        <v>32</v>
      </c>
      <c r="AD52" s="27"/>
      <c r="AE52" s="27"/>
      <c r="AF52" s="27"/>
      <c r="AG52" s="27"/>
      <c r="AH52" s="27"/>
      <c r="AI52" s="27"/>
      <c r="AJ52" s="27"/>
    </row>
    <row r="53" spans="1:36" customFormat="1" ht="76.5" customHeight="1" x14ac:dyDescent="0.3">
      <c r="A53" s="108"/>
      <c r="B53" s="110"/>
      <c r="C53" s="111"/>
      <c r="D53" s="111"/>
      <c r="E53" s="72"/>
      <c r="F53" s="70" t="s">
        <v>27</v>
      </c>
      <c r="G53" s="22" t="s">
        <v>60</v>
      </c>
      <c r="H53" s="22" t="s">
        <v>61</v>
      </c>
      <c r="I53" s="23">
        <v>1</v>
      </c>
      <c r="J53" s="23">
        <v>1</v>
      </c>
      <c r="K53" s="23">
        <v>1</v>
      </c>
      <c r="L53" s="23">
        <v>3</v>
      </c>
      <c r="M53" s="21">
        <f t="shared" si="0"/>
        <v>6</v>
      </c>
      <c r="N53" s="23">
        <v>2</v>
      </c>
      <c r="O53" s="24">
        <f t="shared" si="1"/>
        <v>12</v>
      </c>
      <c r="P53" s="25" t="str">
        <f t="shared" si="10"/>
        <v>Moderado</v>
      </c>
      <c r="Q53" s="25" t="str">
        <f t="shared" si="11"/>
        <v>NO</v>
      </c>
      <c r="R53" s="26" t="s">
        <v>62</v>
      </c>
      <c r="S53" s="22" t="s">
        <v>63</v>
      </c>
      <c r="T53" s="23">
        <v>1</v>
      </c>
      <c r="U53" s="23">
        <v>1</v>
      </c>
      <c r="V53" s="23">
        <v>1</v>
      </c>
      <c r="W53" s="23">
        <v>3</v>
      </c>
      <c r="X53" s="21">
        <f t="shared" si="7"/>
        <v>6</v>
      </c>
      <c r="Y53" s="23">
        <v>2</v>
      </c>
      <c r="Z53" s="24">
        <f t="shared" si="4"/>
        <v>12</v>
      </c>
      <c r="AA53" s="25" t="str">
        <f t="shared" si="12"/>
        <v>Moderado</v>
      </c>
      <c r="AB53" s="25" t="str">
        <f t="shared" si="13"/>
        <v>NO</v>
      </c>
      <c r="AC53" s="30" t="s">
        <v>64</v>
      </c>
      <c r="AD53" s="27"/>
      <c r="AE53" s="27"/>
      <c r="AF53" s="27"/>
      <c r="AG53" s="27"/>
      <c r="AH53" s="27"/>
      <c r="AI53" s="27"/>
      <c r="AJ53" s="27"/>
    </row>
    <row r="54" spans="1:36" customFormat="1" ht="76.5" customHeight="1" x14ac:dyDescent="0.3">
      <c r="A54" s="109"/>
      <c r="B54" s="110"/>
      <c r="C54" s="111"/>
      <c r="D54" s="111"/>
      <c r="E54" s="74"/>
      <c r="F54" s="71" t="s">
        <v>27</v>
      </c>
      <c r="G54" s="21" t="s">
        <v>65</v>
      </c>
      <c r="H54" s="21" t="s">
        <v>66</v>
      </c>
      <c r="I54" s="23">
        <v>1</v>
      </c>
      <c r="J54" s="23">
        <v>1</v>
      </c>
      <c r="K54" s="23">
        <v>2</v>
      </c>
      <c r="L54" s="23">
        <v>3</v>
      </c>
      <c r="M54" s="21">
        <f t="shared" si="0"/>
        <v>7</v>
      </c>
      <c r="N54" s="23">
        <v>2</v>
      </c>
      <c r="O54" s="24">
        <f t="shared" si="1"/>
        <v>14</v>
      </c>
      <c r="P54" s="25" t="str">
        <f t="shared" si="10"/>
        <v>Moderado</v>
      </c>
      <c r="Q54" s="25" t="str">
        <f t="shared" si="11"/>
        <v>NO</v>
      </c>
      <c r="R54" s="30" t="s">
        <v>67</v>
      </c>
      <c r="S54" s="23" t="s">
        <v>49</v>
      </c>
      <c r="T54" s="23">
        <v>1</v>
      </c>
      <c r="U54" s="23">
        <v>1</v>
      </c>
      <c r="V54" s="23">
        <v>1</v>
      </c>
      <c r="W54" s="23">
        <v>3</v>
      </c>
      <c r="X54" s="21">
        <f t="shared" si="7"/>
        <v>6</v>
      </c>
      <c r="Y54" s="23">
        <v>1</v>
      </c>
      <c r="Z54" s="24">
        <f t="shared" si="4"/>
        <v>6</v>
      </c>
      <c r="AA54" s="25" t="str">
        <f t="shared" si="12"/>
        <v>Tolerable</v>
      </c>
      <c r="AB54" s="25" t="str">
        <f t="shared" si="13"/>
        <v>NO</v>
      </c>
      <c r="AC54" s="26" t="s">
        <v>68</v>
      </c>
      <c r="AD54" s="27"/>
      <c r="AE54" s="27"/>
      <c r="AF54" s="27"/>
      <c r="AG54" s="27"/>
      <c r="AH54" s="27"/>
      <c r="AI54" s="27"/>
      <c r="AJ54" s="27"/>
    </row>
    <row r="55" spans="1:36" ht="87.75" customHeight="1" x14ac:dyDescent="0.3">
      <c r="A55" s="98">
        <v>6</v>
      </c>
      <c r="B55" s="75"/>
      <c r="C55" s="101" t="s">
        <v>70</v>
      </c>
      <c r="D55" s="104" t="s">
        <v>71</v>
      </c>
      <c r="E55" s="28" t="s">
        <v>27</v>
      </c>
      <c r="F55" s="28"/>
      <c r="G55" s="22" t="s">
        <v>72</v>
      </c>
      <c r="H55" s="22" t="s">
        <v>73</v>
      </c>
      <c r="I55" s="22">
        <v>3</v>
      </c>
      <c r="J55" s="22">
        <v>2</v>
      </c>
      <c r="K55" s="22">
        <v>2</v>
      </c>
      <c r="L55" s="22">
        <v>3</v>
      </c>
      <c r="M55" s="21">
        <f t="shared" si="0"/>
        <v>10</v>
      </c>
      <c r="N55" s="22">
        <v>2</v>
      </c>
      <c r="O55" s="24">
        <f t="shared" si="1"/>
        <v>20</v>
      </c>
      <c r="P55" s="25" t="str">
        <f t="shared" si="10"/>
        <v>Importante</v>
      </c>
      <c r="Q55" s="25" t="str">
        <f t="shared" si="11"/>
        <v>SÍ</v>
      </c>
      <c r="R55" s="26" t="s">
        <v>74</v>
      </c>
      <c r="S55" s="22" t="s">
        <v>75</v>
      </c>
      <c r="T55" s="22">
        <v>3</v>
      </c>
      <c r="U55" s="22">
        <v>1</v>
      </c>
      <c r="V55" s="22">
        <v>1</v>
      </c>
      <c r="W55" s="22">
        <v>1</v>
      </c>
      <c r="X55" s="21">
        <f t="shared" si="7"/>
        <v>6</v>
      </c>
      <c r="Y55" s="22">
        <v>2</v>
      </c>
      <c r="Z55" s="24">
        <f t="shared" si="4"/>
        <v>12</v>
      </c>
      <c r="AA55" s="25" t="str">
        <f t="shared" si="12"/>
        <v>Moderado</v>
      </c>
      <c r="AB55" s="25" t="str">
        <f t="shared" si="13"/>
        <v>NO</v>
      </c>
      <c r="AC55" s="26" t="s">
        <v>76</v>
      </c>
      <c r="AD55" s="27"/>
      <c r="AE55" s="27"/>
      <c r="AF55" s="27"/>
      <c r="AG55" s="27"/>
      <c r="AH55" s="27"/>
      <c r="AI55" s="27"/>
      <c r="AJ55" s="27"/>
    </row>
    <row r="56" spans="1:36" ht="51" customHeight="1" x14ac:dyDescent="0.3">
      <c r="A56" s="98"/>
      <c r="B56" s="75"/>
      <c r="C56" s="102"/>
      <c r="D56" s="105"/>
      <c r="E56" s="28" t="s">
        <v>27</v>
      </c>
      <c r="F56" s="28"/>
      <c r="G56" s="38" t="s">
        <v>77</v>
      </c>
      <c r="H56" s="36" t="s">
        <v>78</v>
      </c>
      <c r="I56" s="22">
        <v>1</v>
      </c>
      <c r="J56" s="22">
        <v>2</v>
      </c>
      <c r="K56" s="22">
        <v>1</v>
      </c>
      <c r="L56" s="22">
        <v>3</v>
      </c>
      <c r="M56" s="21">
        <f t="shared" si="0"/>
        <v>7</v>
      </c>
      <c r="N56" s="22">
        <v>2</v>
      </c>
      <c r="O56" s="24">
        <f t="shared" si="1"/>
        <v>14</v>
      </c>
      <c r="P56" s="25" t="str">
        <f t="shared" si="10"/>
        <v>Moderado</v>
      </c>
      <c r="Q56" s="25" t="str">
        <f t="shared" si="11"/>
        <v>NO</v>
      </c>
      <c r="R56" s="26" t="s">
        <v>79</v>
      </c>
      <c r="S56" s="22" t="s">
        <v>36</v>
      </c>
      <c r="T56" s="22">
        <v>1</v>
      </c>
      <c r="U56" s="22">
        <v>1</v>
      </c>
      <c r="V56" s="22">
        <v>1</v>
      </c>
      <c r="W56" s="22">
        <v>3</v>
      </c>
      <c r="X56" s="21">
        <f t="shared" si="7"/>
        <v>6</v>
      </c>
      <c r="Y56" s="22">
        <v>1</v>
      </c>
      <c r="Z56" s="24">
        <f t="shared" si="4"/>
        <v>6</v>
      </c>
      <c r="AA56" s="25" t="str">
        <f t="shared" si="12"/>
        <v>Tolerable</v>
      </c>
      <c r="AB56" s="25" t="str">
        <f t="shared" si="13"/>
        <v>NO</v>
      </c>
      <c r="AC56" s="26" t="s">
        <v>80</v>
      </c>
      <c r="AD56" s="27"/>
      <c r="AE56" s="27"/>
      <c r="AF56" s="27"/>
      <c r="AG56" s="27"/>
      <c r="AH56" s="27"/>
      <c r="AI56" s="27"/>
      <c r="AJ56" s="27"/>
    </row>
    <row r="57" spans="1:36" ht="63.75" customHeight="1" x14ac:dyDescent="0.3">
      <c r="A57" s="98"/>
      <c r="B57" s="75"/>
      <c r="C57" s="102"/>
      <c r="D57" s="105"/>
      <c r="E57" s="28" t="s">
        <v>27</v>
      </c>
      <c r="F57" s="28"/>
      <c r="G57" s="38" t="s">
        <v>81</v>
      </c>
      <c r="H57" s="22" t="s">
        <v>82</v>
      </c>
      <c r="I57" s="22">
        <v>3</v>
      </c>
      <c r="J57" s="22">
        <v>1</v>
      </c>
      <c r="K57" s="22">
        <v>2</v>
      </c>
      <c r="L57" s="22">
        <v>2</v>
      </c>
      <c r="M57" s="21">
        <f t="shared" si="0"/>
        <v>8</v>
      </c>
      <c r="N57" s="22">
        <v>3</v>
      </c>
      <c r="O57" s="24">
        <f t="shared" si="1"/>
        <v>24</v>
      </c>
      <c r="P57" s="25" t="str">
        <f t="shared" si="10"/>
        <v>Importante</v>
      </c>
      <c r="Q57" s="25" t="str">
        <f t="shared" si="11"/>
        <v>SÍ</v>
      </c>
      <c r="R57" s="26" t="s">
        <v>83</v>
      </c>
      <c r="S57" s="22" t="s">
        <v>84</v>
      </c>
      <c r="T57" s="22">
        <v>3</v>
      </c>
      <c r="U57" s="22">
        <v>1</v>
      </c>
      <c r="V57" s="22">
        <v>1</v>
      </c>
      <c r="W57" s="22">
        <v>3</v>
      </c>
      <c r="X57" s="21">
        <f t="shared" si="7"/>
        <v>8</v>
      </c>
      <c r="Y57" s="22">
        <v>3</v>
      </c>
      <c r="Z57" s="24">
        <f t="shared" si="4"/>
        <v>24</v>
      </c>
      <c r="AA57" s="25" t="str">
        <f t="shared" si="12"/>
        <v>Importante</v>
      </c>
      <c r="AB57" s="25" t="str">
        <f t="shared" si="13"/>
        <v>SÍ</v>
      </c>
      <c r="AC57" s="26" t="s">
        <v>85</v>
      </c>
      <c r="AD57" s="27"/>
      <c r="AE57" s="27"/>
      <c r="AF57" s="27"/>
      <c r="AG57" s="27"/>
      <c r="AH57" s="27"/>
      <c r="AI57" s="27"/>
      <c r="AJ57" s="27"/>
    </row>
    <row r="58" spans="1:36" ht="51.75" customHeight="1" x14ac:dyDescent="0.3">
      <c r="A58" s="98"/>
      <c r="B58" s="99" t="s">
        <v>86</v>
      </c>
      <c r="C58" s="102"/>
      <c r="D58" s="105"/>
      <c r="E58" s="28" t="s">
        <v>27</v>
      </c>
      <c r="F58" s="28"/>
      <c r="G58" s="22" t="s">
        <v>87</v>
      </c>
      <c r="H58" s="22" t="s">
        <v>88</v>
      </c>
      <c r="I58" s="22">
        <v>3</v>
      </c>
      <c r="J58" s="22">
        <v>2</v>
      </c>
      <c r="K58" s="22">
        <v>1</v>
      </c>
      <c r="L58" s="22">
        <v>3</v>
      </c>
      <c r="M58" s="21">
        <f t="shared" si="0"/>
        <v>9</v>
      </c>
      <c r="N58" s="22">
        <v>1</v>
      </c>
      <c r="O58" s="24">
        <f t="shared" si="1"/>
        <v>9</v>
      </c>
      <c r="P58" s="25" t="str">
        <f t="shared" si="10"/>
        <v>Moderado</v>
      </c>
      <c r="Q58" s="25" t="str">
        <f t="shared" si="11"/>
        <v>NO</v>
      </c>
      <c r="R58" s="26" t="s">
        <v>89</v>
      </c>
      <c r="S58" s="22" t="s">
        <v>90</v>
      </c>
      <c r="T58" s="22">
        <v>3</v>
      </c>
      <c r="U58" s="22">
        <v>1</v>
      </c>
      <c r="V58" s="22">
        <v>1</v>
      </c>
      <c r="W58" s="22">
        <v>3</v>
      </c>
      <c r="X58" s="21">
        <f t="shared" si="7"/>
        <v>8</v>
      </c>
      <c r="Y58" s="22">
        <v>1</v>
      </c>
      <c r="Z58" s="24">
        <f t="shared" si="4"/>
        <v>8</v>
      </c>
      <c r="AA58" s="25" t="str">
        <f t="shared" si="12"/>
        <v>Tolerable</v>
      </c>
      <c r="AB58" s="25" t="str">
        <f t="shared" si="13"/>
        <v>NO</v>
      </c>
      <c r="AC58" s="26" t="s">
        <v>32</v>
      </c>
      <c r="AD58" s="27"/>
      <c r="AE58" s="27"/>
      <c r="AF58" s="27"/>
      <c r="AG58" s="27"/>
      <c r="AH58" s="27"/>
      <c r="AI58" s="27"/>
      <c r="AJ58" s="27"/>
    </row>
    <row r="59" spans="1:36" ht="32.25" customHeight="1" x14ac:dyDescent="0.3">
      <c r="A59" s="98"/>
      <c r="B59" s="99"/>
      <c r="C59" s="102"/>
      <c r="D59" s="105"/>
      <c r="E59" s="28" t="s">
        <v>27</v>
      </c>
      <c r="F59" s="28"/>
      <c r="G59" s="22" t="s">
        <v>91</v>
      </c>
      <c r="H59" s="22" t="s">
        <v>92</v>
      </c>
      <c r="I59" s="22">
        <v>3</v>
      </c>
      <c r="J59" s="22">
        <v>1</v>
      </c>
      <c r="K59" s="22">
        <v>1</v>
      </c>
      <c r="L59" s="22">
        <v>3</v>
      </c>
      <c r="M59" s="21">
        <f t="shared" si="0"/>
        <v>8</v>
      </c>
      <c r="N59" s="22">
        <v>1</v>
      </c>
      <c r="O59" s="24">
        <f t="shared" si="1"/>
        <v>8</v>
      </c>
      <c r="P59" s="25" t="str">
        <f t="shared" si="10"/>
        <v>Tolerable</v>
      </c>
      <c r="Q59" s="25" t="str">
        <f t="shared" si="11"/>
        <v>NO</v>
      </c>
      <c r="R59" s="26" t="s">
        <v>93</v>
      </c>
      <c r="S59" s="22" t="s">
        <v>36</v>
      </c>
      <c r="T59" s="22">
        <v>3</v>
      </c>
      <c r="U59" s="22">
        <v>1</v>
      </c>
      <c r="V59" s="22">
        <v>1</v>
      </c>
      <c r="W59" s="22">
        <v>3</v>
      </c>
      <c r="X59" s="21">
        <f t="shared" si="7"/>
        <v>8</v>
      </c>
      <c r="Y59" s="22">
        <v>1</v>
      </c>
      <c r="Z59" s="24">
        <f t="shared" si="4"/>
        <v>8</v>
      </c>
      <c r="AA59" s="25" t="str">
        <f t="shared" si="12"/>
        <v>Tolerable</v>
      </c>
      <c r="AB59" s="25" t="str">
        <f t="shared" si="13"/>
        <v>NO</v>
      </c>
      <c r="AC59" s="26" t="s">
        <v>94</v>
      </c>
      <c r="AD59" s="27"/>
      <c r="AE59" s="27"/>
      <c r="AF59" s="27"/>
      <c r="AG59" s="27"/>
      <c r="AH59" s="27"/>
      <c r="AI59" s="27"/>
      <c r="AJ59" s="27"/>
    </row>
    <row r="60" spans="1:36" ht="72" customHeight="1" x14ac:dyDescent="0.3">
      <c r="A60" s="98"/>
      <c r="B60" s="99"/>
      <c r="C60" s="102"/>
      <c r="D60" s="105"/>
      <c r="E60" s="28" t="s">
        <v>27</v>
      </c>
      <c r="F60" s="28"/>
      <c r="G60" s="22" t="s">
        <v>95</v>
      </c>
      <c r="H60" s="39" t="s">
        <v>96</v>
      </c>
      <c r="I60" s="22">
        <v>3</v>
      </c>
      <c r="J60" s="22">
        <v>1</v>
      </c>
      <c r="K60" s="22">
        <v>1</v>
      </c>
      <c r="L60" s="22">
        <v>3</v>
      </c>
      <c r="M60" s="21">
        <f t="shared" si="0"/>
        <v>8</v>
      </c>
      <c r="N60" s="22">
        <v>1</v>
      </c>
      <c r="O60" s="24">
        <f t="shared" si="1"/>
        <v>8</v>
      </c>
      <c r="P60" s="25" t="str">
        <f t="shared" si="10"/>
        <v>Tolerable</v>
      </c>
      <c r="Q60" s="25" t="str">
        <f t="shared" si="11"/>
        <v>NO</v>
      </c>
      <c r="R60" s="26" t="s">
        <v>97</v>
      </c>
      <c r="S60" s="22" t="s">
        <v>36</v>
      </c>
      <c r="T60" s="22">
        <v>3</v>
      </c>
      <c r="U60" s="22">
        <v>1</v>
      </c>
      <c r="V60" s="22">
        <v>1</v>
      </c>
      <c r="W60" s="22">
        <v>3</v>
      </c>
      <c r="X60" s="21">
        <f t="shared" si="7"/>
        <v>8</v>
      </c>
      <c r="Y60" s="22">
        <v>1</v>
      </c>
      <c r="Z60" s="24">
        <f t="shared" si="4"/>
        <v>8</v>
      </c>
      <c r="AA60" s="25" t="str">
        <f t="shared" si="12"/>
        <v>Tolerable</v>
      </c>
      <c r="AB60" s="25" t="str">
        <f t="shared" si="13"/>
        <v>NO</v>
      </c>
      <c r="AC60" s="26" t="s">
        <v>32</v>
      </c>
      <c r="AD60" s="27"/>
      <c r="AE60" s="27"/>
      <c r="AF60" s="27"/>
      <c r="AG60" s="27"/>
      <c r="AH60" s="27"/>
      <c r="AI60" s="27"/>
      <c r="AJ60" s="27"/>
    </row>
    <row r="61" spans="1:36" ht="48.75" customHeight="1" x14ac:dyDescent="0.3">
      <c r="A61" s="98"/>
      <c r="B61" s="99"/>
      <c r="C61" s="102"/>
      <c r="D61" s="105"/>
      <c r="E61" s="28" t="s">
        <v>27</v>
      </c>
      <c r="F61" s="28"/>
      <c r="G61" s="22" t="s">
        <v>98</v>
      </c>
      <c r="H61" s="22" t="s">
        <v>99</v>
      </c>
      <c r="I61" s="22">
        <v>3</v>
      </c>
      <c r="J61" s="22">
        <v>1</v>
      </c>
      <c r="K61" s="22">
        <v>1</v>
      </c>
      <c r="L61" s="22">
        <v>3</v>
      </c>
      <c r="M61" s="21">
        <f t="shared" si="0"/>
        <v>8</v>
      </c>
      <c r="N61" s="22">
        <v>2</v>
      </c>
      <c r="O61" s="24">
        <f t="shared" si="1"/>
        <v>16</v>
      </c>
      <c r="P61" s="25" t="str">
        <f t="shared" si="10"/>
        <v>Moderado</v>
      </c>
      <c r="Q61" s="25" t="str">
        <f t="shared" si="11"/>
        <v>NO</v>
      </c>
      <c r="R61" s="30" t="s">
        <v>100</v>
      </c>
      <c r="S61" s="22" t="s">
        <v>36</v>
      </c>
      <c r="T61" s="22">
        <v>3</v>
      </c>
      <c r="U61" s="22">
        <v>1</v>
      </c>
      <c r="V61" s="22">
        <v>1</v>
      </c>
      <c r="W61" s="22">
        <v>3</v>
      </c>
      <c r="X61" s="21">
        <f t="shared" si="7"/>
        <v>8</v>
      </c>
      <c r="Y61" s="22">
        <v>2</v>
      </c>
      <c r="Z61" s="24">
        <f t="shared" si="4"/>
        <v>16</v>
      </c>
      <c r="AA61" s="25" t="str">
        <f t="shared" si="12"/>
        <v>Moderado</v>
      </c>
      <c r="AB61" s="25" t="str">
        <f t="shared" si="13"/>
        <v>NO</v>
      </c>
      <c r="AC61" s="26" t="s">
        <v>32</v>
      </c>
      <c r="AD61" s="27"/>
      <c r="AE61" s="27"/>
      <c r="AF61" s="27"/>
      <c r="AG61" s="27"/>
      <c r="AH61" s="27"/>
      <c r="AI61" s="27"/>
      <c r="AJ61" s="27"/>
    </row>
    <row r="62" spans="1:36" ht="69.75" customHeight="1" x14ac:dyDescent="0.3">
      <c r="A62" s="98"/>
      <c r="B62" s="99"/>
      <c r="C62" s="102"/>
      <c r="D62" s="105"/>
      <c r="E62" s="28" t="s">
        <v>27</v>
      </c>
      <c r="F62" s="28"/>
      <c r="G62" s="21" t="s">
        <v>101</v>
      </c>
      <c r="H62" s="21" t="s">
        <v>102</v>
      </c>
      <c r="I62" s="22">
        <v>3</v>
      </c>
      <c r="J62" s="22">
        <v>1</v>
      </c>
      <c r="K62" s="22">
        <v>2</v>
      </c>
      <c r="L62" s="22">
        <v>3</v>
      </c>
      <c r="M62" s="21">
        <f t="shared" si="0"/>
        <v>9</v>
      </c>
      <c r="N62" s="22">
        <v>2</v>
      </c>
      <c r="O62" s="24">
        <f t="shared" si="1"/>
        <v>18</v>
      </c>
      <c r="P62" s="25" t="str">
        <f t="shared" si="10"/>
        <v>Importante</v>
      </c>
      <c r="Q62" s="25" t="str">
        <f t="shared" si="11"/>
        <v>SÍ</v>
      </c>
      <c r="R62" s="26" t="s">
        <v>103</v>
      </c>
      <c r="S62" s="22" t="s">
        <v>104</v>
      </c>
      <c r="T62" s="22">
        <v>3</v>
      </c>
      <c r="U62" s="22">
        <v>1</v>
      </c>
      <c r="V62" s="22">
        <v>1</v>
      </c>
      <c r="W62" s="22">
        <v>3</v>
      </c>
      <c r="X62" s="21">
        <f t="shared" si="7"/>
        <v>8</v>
      </c>
      <c r="Y62" s="22">
        <v>2</v>
      </c>
      <c r="Z62" s="24">
        <f t="shared" si="4"/>
        <v>16</v>
      </c>
      <c r="AA62" s="25" t="str">
        <f t="shared" si="12"/>
        <v>Moderado</v>
      </c>
      <c r="AB62" s="25" t="str">
        <f t="shared" si="13"/>
        <v>NO</v>
      </c>
      <c r="AC62" s="26" t="s">
        <v>105</v>
      </c>
      <c r="AD62" s="27"/>
      <c r="AE62" s="27"/>
      <c r="AF62" s="27"/>
      <c r="AG62" s="27"/>
      <c r="AH62" s="27"/>
      <c r="AI62" s="27"/>
      <c r="AJ62" s="27"/>
    </row>
    <row r="63" spans="1:36" ht="31.5" customHeight="1" x14ac:dyDescent="0.3">
      <c r="A63" s="98"/>
      <c r="B63" s="99"/>
      <c r="C63" s="102"/>
      <c r="D63" s="105"/>
      <c r="E63" s="28" t="s">
        <v>27</v>
      </c>
      <c r="F63" s="28"/>
      <c r="G63" s="21" t="s">
        <v>106</v>
      </c>
      <c r="H63" s="21" t="s">
        <v>107</v>
      </c>
      <c r="I63" s="22">
        <v>3</v>
      </c>
      <c r="J63" s="22">
        <v>1</v>
      </c>
      <c r="K63" s="22">
        <v>1</v>
      </c>
      <c r="L63" s="22">
        <v>3</v>
      </c>
      <c r="M63" s="21">
        <f t="shared" si="0"/>
        <v>8</v>
      </c>
      <c r="N63" s="22">
        <v>2</v>
      </c>
      <c r="O63" s="24">
        <f t="shared" si="1"/>
        <v>16</v>
      </c>
      <c r="P63" s="25" t="str">
        <f t="shared" si="10"/>
        <v>Moderado</v>
      </c>
      <c r="Q63" s="25" t="str">
        <f t="shared" si="11"/>
        <v>NO</v>
      </c>
      <c r="R63" s="26" t="s">
        <v>108</v>
      </c>
      <c r="S63" s="22" t="s">
        <v>36</v>
      </c>
      <c r="T63" s="22">
        <v>3</v>
      </c>
      <c r="U63" s="22">
        <v>1</v>
      </c>
      <c r="V63" s="22">
        <v>1</v>
      </c>
      <c r="W63" s="22">
        <v>3</v>
      </c>
      <c r="X63" s="21">
        <f t="shared" si="7"/>
        <v>8</v>
      </c>
      <c r="Y63" s="22">
        <v>2</v>
      </c>
      <c r="Z63" s="24">
        <f t="shared" si="4"/>
        <v>16</v>
      </c>
      <c r="AA63" s="25" t="str">
        <f t="shared" si="12"/>
        <v>Moderado</v>
      </c>
      <c r="AB63" s="25" t="str">
        <f t="shared" si="13"/>
        <v>NO</v>
      </c>
      <c r="AC63" s="26" t="s">
        <v>32</v>
      </c>
      <c r="AD63" s="27"/>
      <c r="AE63" s="27"/>
      <c r="AF63" s="27"/>
      <c r="AG63" s="27"/>
      <c r="AH63" s="27"/>
      <c r="AI63" s="27"/>
      <c r="AJ63" s="27"/>
    </row>
    <row r="64" spans="1:36" ht="59.25" customHeight="1" x14ac:dyDescent="0.3">
      <c r="A64" s="98"/>
      <c r="B64" s="99"/>
      <c r="C64" s="102"/>
      <c r="D64" s="105"/>
      <c r="E64" s="28" t="s">
        <v>27</v>
      </c>
      <c r="F64" s="28"/>
      <c r="G64" s="21" t="s">
        <v>38</v>
      </c>
      <c r="H64" s="21" t="s">
        <v>39</v>
      </c>
      <c r="I64" s="22">
        <v>3</v>
      </c>
      <c r="J64" s="22">
        <v>1</v>
      </c>
      <c r="K64" s="22">
        <v>1</v>
      </c>
      <c r="L64" s="22">
        <v>3</v>
      </c>
      <c r="M64" s="21">
        <f t="shared" si="0"/>
        <v>8</v>
      </c>
      <c r="N64" s="22">
        <v>1</v>
      </c>
      <c r="O64" s="24">
        <f t="shared" si="1"/>
        <v>8</v>
      </c>
      <c r="P64" s="25" t="str">
        <f t="shared" si="10"/>
        <v>Tolerable</v>
      </c>
      <c r="Q64" s="25" t="str">
        <f t="shared" si="11"/>
        <v>NO</v>
      </c>
      <c r="R64" s="26" t="s">
        <v>109</v>
      </c>
      <c r="S64" s="22" t="s">
        <v>110</v>
      </c>
      <c r="T64" s="22">
        <v>3</v>
      </c>
      <c r="U64" s="22">
        <v>1</v>
      </c>
      <c r="V64" s="22">
        <v>1</v>
      </c>
      <c r="W64" s="22">
        <v>3</v>
      </c>
      <c r="X64" s="21">
        <f t="shared" si="7"/>
        <v>8</v>
      </c>
      <c r="Y64" s="22">
        <v>1</v>
      </c>
      <c r="Z64" s="24">
        <f t="shared" si="4"/>
        <v>8</v>
      </c>
      <c r="AA64" s="25" t="str">
        <f t="shared" si="12"/>
        <v>Tolerable</v>
      </c>
      <c r="AB64" s="25" t="str">
        <f t="shared" si="13"/>
        <v>NO</v>
      </c>
      <c r="AC64" s="26" t="s">
        <v>111</v>
      </c>
      <c r="AD64" s="27"/>
      <c r="AE64" s="27"/>
      <c r="AF64" s="27"/>
      <c r="AG64" s="27"/>
      <c r="AH64" s="27"/>
      <c r="AI64" s="27"/>
      <c r="AJ64" s="27"/>
    </row>
    <row r="65" spans="1:36" ht="49.5" customHeight="1" x14ac:dyDescent="0.3">
      <c r="A65" s="98"/>
      <c r="B65" s="99"/>
      <c r="C65" s="102"/>
      <c r="D65" s="105"/>
      <c r="E65" s="28" t="s">
        <v>27</v>
      </c>
      <c r="F65" s="28"/>
      <c r="G65" s="22" t="s">
        <v>112</v>
      </c>
      <c r="H65" s="22" t="s">
        <v>113</v>
      </c>
      <c r="I65" s="22">
        <v>3</v>
      </c>
      <c r="J65" s="22">
        <v>1</v>
      </c>
      <c r="K65" s="22">
        <v>1</v>
      </c>
      <c r="L65" s="22">
        <v>3</v>
      </c>
      <c r="M65" s="21">
        <f t="shared" si="0"/>
        <v>8</v>
      </c>
      <c r="N65" s="22">
        <v>2</v>
      </c>
      <c r="O65" s="24">
        <f t="shared" si="1"/>
        <v>16</v>
      </c>
      <c r="P65" s="25" t="str">
        <f t="shared" si="10"/>
        <v>Moderado</v>
      </c>
      <c r="Q65" s="25" t="str">
        <f t="shared" si="11"/>
        <v>NO</v>
      </c>
      <c r="R65" s="26" t="s">
        <v>114</v>
      </c>
      <c r="S65" s="22" t="s">
        <v>36</v>
      </c>
      <c r="T65" s="22">
        <v>3</v>
      </c>
      <c r="U65" s="22">
        <v>1</v>
      </c>
      <c r="V65" s="22">
        <v>1</v>
      </c>
      <c r="W65" s="22">
        <v>3</v>
      </c>
      <c r="X65" s="21">
        <f t="shared" si="7"/>
        <v>8</v>
      </c>
      <c r="Y65" s="22">
        <v>2</v>
      </c>
      <c r="Z65" s="24">
        <f t="shared" si="4"/>
        <v>16</v>
      </c>
      <c r="AA65" s="25" t="str">
        <f t="shared" si="12"/>
        <v>Moderado</v>
      </c>
      <c r="AB65" s="25" t="str">
        <f t="shared" si="13"/>
        <v>NO</v>
      </c>
      <c r="AC65" s="26" t="s">
        <v>32</v>
      </c>
      <c r="AD65" s="27"/>
      <c r="AE65" s="27"/>
      <c r="AF65" s="27"/>
      <c r="AG65" s="27"/>
      <c r="AH65" s="27"/>
      <c r="AI65" s="27"/>
      <c r="AJ65" s="27"/>
    </row>
    <row r="66" spans="1:36" ht="72" customHeight="1" x14ac:dyDescent="0.3">
      <c r="A66" s="98"/>
      <c r="B66" s="99"/>
      <c r="C66" s="102"/>
      <c r="D66" s="105"/>
      <c r="E66" s="28" t="s">
        <v>27</v>
      </c>
      <c r="F66" s="28"/>
      <c r="G66" s="22" t="s">
        <v>60</v>
      </c>
      <c r="H66" s="22" t="s">
        <v>61</v>
      </c>
      <c r="I66" s="22">
        <v>3</v>
      </c>
      <c r="J66" s="22">
        <v>1</v>
      </c>
      <c r="K66" s="22">
        <v>1</v>
      </c>
      <c r="L66" s="22">
        <v>3</v>
      </c>
      <c r="M66" s="21">
        <f t="shared" si="0"/>
        <v>8</v>
      </c>
      <c r="N66" s="22">
        <v>2</v>
      </c>
      <c r="O66" s="24">
        <f t="shared" si="1"/>
        <v>16</v>
      </c>
      <c r="P66" s="25" t="str">
        <f t="shared" si="10"/>
        <v>Moderado</v>
      </c>
      <c r="Q66" s="25" t="str">
        <f t="shared" si="11"/>
        <v>NO</v>
      </c>
      <c r="R66" s="26" t="s">
        <v>115</v>
      </c>
      <c r="S66" s="22" t="s">
        <v>63</v>
      </c>
      <c r="T66" s="22">
        <v>3</v>
      </c>
      <c r="U66" s="22">
        <v>1</v>
      </c>
      <c r="V66" s="22">
        <v>1</v>
      </c>
      <c r="W66" s="22">
        <v>3</v>
      </c>
      <c r="X66" s="21">
        <f t="shared" si="7"/>
        <v>8</v>
      </c>
      <c r="Y66" s="22">
        <v>2</v>
      </c>
      <c r="Z66" s="24">
        <f t="shared" si="4"/>
        <v>16</v>
      </c>
      <c r="AA66" s="25" t="str">
        <f t="shared" si="12"/>
        <v>Moderado</v>
      </c>
      <c r="AB66" s="25" t="str">
        <f t="shared" si="13"/>
        <v>NO</v>
      </c>
      <c r="AC66" s="26" t="s">
        <v>116</v>
      </c>
      <c r="AD66" s="27"/>
      <c r="AE66" s="27"/>
      <c r="AF66" s="27"/>
      <c r="AG66" s="27"/>
      <c r="AH66" s="27"/>
      <c r="AI66" s="27"/>
      <c r="AJ66" s="27"/>
    </row>
    <row r="67" spans="1:36" ht="63" customHeight="1" x14ac:dyDescent="0.3">
      <c r="A67" s="98"/>
      <c r="B67" s="99"/>
      <c r="C67" s="102"/>
      <c r="D67" s="105"/>
      <c r="E67" s="28" t="s">
        <v>27</v>
      </c>
      <c r="F67" s="28"/>
      <c r="G67" s="22" t="s">
        <v>33</v>
      </c>
      <c r="H67" s="22" t="s">
        <v>117</v>
      </c>
      <c r="I67" s="22">
        <v>3</v>
      </c>
      <c r="J67" s="22">
        <v>2</v>
      </c>
      <c r="K67" s="22">
        <v>2</v>
      </c>
      <c r="L67" s="22">
        <v>3</v>
      </c>
      <c r="M67" s="21">
        <f t="shared" si="0"/>
        <v>10</v>
      </c>
      <c r="N67" s="22">
        <v>2</v>
      </c>
      <c r="O67" s="24">
        <f t="shared" si="1"/>
        <v>20</v>
      </c>
      <c r="P67" s="25" t="str">
        <f t="shared" si="10"/>
        <v>Importante</v>
      </c>
      <c r="Q67" s="25" t="str">
        <f t="shared" si="11"/>
        <v>SÍ</v>
      </c>
      <c r="R67" s="26" t="s">
        <v>118</v>
      </c>
      <c r="S67" s="22" t="s">
        <v>36</v>
      </c>
      <c r="T67" s="22">
        <v>3</v>
      </c>
      <c r="U67" s="22">
        <v>1</v>
      </c>
      <c r="V67" s="22">
        <v>1</v>
      </c>
      <c r="W67" s="21">
        <v>3</v>
      </c>
      <c r="X67" s="21">
        <f t="shared" si="7"/>
        <v>8</v>
      </c>
      <c r="Y67" s="22">
        <v>1</v>
      </c>
      <c r="Z67" s="24">
        <f t="shared" si="4"/>
        <v>8</v>
      </c>
      <c r="AA67" s="25" t="str">
        <f t="shared" si="12"/>
        <v>Tolerable</v>
      </c>
      <c r="AB67" s="25" t="str">
        <f t="shared" si="13"/>
        <v>NO</v>
      </c>
      <c r="AC67" s="26" t="s">
        <v>32</v>
      </c>
      <c r="AD67" s="27"/>
      <c r="AE67" s="27"/>
      <c r="AF67" s="27"/>
      <c r="AG67" s="27"/>
      <c r="AH67" s="27"/>
      <c r="AI67" s="27"/>
      <c r="AJ67" s="27"/>
    </row>
    <row r="68" spans="1:36" ht="79.5" customHeight="1" x14ac:dyDescent="0.3">
      <c r="A68" s="98"/>
      <c r="B68" s="99"/>
      <c r="C68" s="102"/>
      <c r="D68" s="105"/>
      <c r="E68" s="28" t="s">
        <v>27</v>
      </c>
      <c r="F68" s="28"/>
      <c r="G68" s="21" t="s">
        <v>28</v>
      </c>
      <c r="H68" s="22" t="s">
        <v>29</v>
      </c>
      <c r="I68" s="22">
        <v>3</v>
      </c>
      <c r="J68" s="22">
        <v>2</v>
      </c>
      <c r="K68" s="22">
        <v>1</v>
      </c>
      <c r="L68" s="22">
        <v>3</v>
      </c>
      <c r="M68" s="21">
        <f t="shared" si="0"/>
        <v>9</v>
      </c>
      <c r="N68" s="22">
        <v>1</v>
      </c>
      <c r="O68" s="24">
        <f t="shared" si="1"/>
        <v>9</v>
      </c>
      <c r="P68" s="25" t="str">
        <f t="shared" si="10"/>
        <v>Moderado</v>
      </c>
      <c r="Q68" s="25" t="str">
        <f t="shared" si="11"/>
        <v>NO</v>
      </c>
      <c r="R68" s="26" t="s">
        <v>119</v>
      </c>
      <c r="S68" s="22" t="s">
        <v>31</v>
      </c>
      <c r="T68" s="22">
        <v>3</v>
      </c>
      <c r="U68" s="22">
        <v>1</v>
      </c>
      <c r="V68" s="22">
        <v>1</v>
      </c>
      <c r="W68" s="21">
        <v>3</v>
      </c>
      <c r="X68" s="21">
        <f t="shared" si="7"/>
        <v>8</v>
      </c>
      <c r="Y68" s="22">
        <v>1</v>
      </c>
      <c r="Z68" s="24">
        <f t="shared" si="4"/>
        <v>8</v>
      </c>
      <c r="AA68" s="25" t="str">
        <f t="shared" si="12"/>
        <v>Tolerable</v>
      </c>
      <c r="AB68" s="25" t="str">
        <f t="shared" si="13"/>
        <v>NO</v>
      </c>
      <c r="AC68" s="26" t="s">
        <v>32</v>
      </c>
      <c r="AD68" s="27"/>
      <c r="AE68" s="27"/>
      <c r="AF68" s="27"/>
      <c r="AG68" s="27"/>
      <c r="AH68" s="27"/>
      <c r="AI68" s="27"/>
      <c r="AJ68" s="27"/>
    </row>
    <row r="69" spans="1:36" ht="90.75" customHeight="1" x14ac:dyDescent="0.3">
      <c r="A69" s="98"/>
      <c r="B69" s="99"/>
      <c r="C69" s="102"/>
      <c r="D69" s="105"/>
      <c r="E69" s="28" t="s">
        <v>27</v>
      </c>
      <c r="F69" s="28"/>
      <c r="G69" s="21" t="s">
        <v>120</v>
      </c>
      <c r="H69" s="21" t="s">
        <v>121</v>
      </c>
      <c r="I69" s="22">
        <v>3</v>
      </c>
      <c r="J69" s="22">
        <v>1</v>
      </c>
      <c r="K69" s="22">
        <v>1</v>
      </c>
      <c r="L69" s="22">
        <v>3</v>
      </c>
      <c r="M69" s="21">
        <f t="shared" si="0"/>
        <v>8</v>
      </c>
      <c r="N69" s="22">
        <v>1</v>
      </c>
      <c r="O69" s="24">
        <f t="shared" si="1"/>
        <v>8</v>
      </c>
      <c r="P69" s="25" t="str">
        <f t="shared" si="10"/>
        <v>Tolerable</v>
      </c>
      <c r="Q69" s="25" t="str">
        <f t="shared" si="11"/>
        <v>NO</v>
      </c>
      <c r="R69" s="26" t="s">
        <v>122</v>
      </c>
      <c r="S69" s="22" t="s">
        <v>45</v>
      </c>
      <c r="T69" s="22">
        <v>3</v>
      </c>
      <c r="U69" s="22">
        <v>1</v>
      </c>
      <c r="V69" s="22">
        <v>1</v>
      </c>
      <c r="W69" s="21">
        <v>3</v>
      </c>
      <c r="X69" s="21">
        <f t="shared" si="7"/>
        <v>8</v>
      </c>
      <c r="Y69" s="22">
        <v>1</v>
      </c>
      <c r="Z69" s="24">
        <f t="shared" si="4"/>
        <v>8</v>
      </c>
      <c r="AA69" s="25" t="str">
        <f t="shared" si="12"/>
        <v>Tolerable</v>
      </c>
      <c r="AB69" s="25" t="str">
        <f t="shared" si="13"/>
        <v>NO</v>
      </c>
      <c r="AC69" s="26" t="s">
        <v>123</v>
      </c>
      <c r="AD69" s="27"/>
      <c r="AE69" s="27"/>
      <c r="AF69" s="27"/>
      <c r="AG69" s="27"/>
      <c r="AH69" s="27"/>
      <c r="AI69" s="27"/>
      <c r="AJ69" s="27"/>
    </row>
    <row r="70" spans="1:36" ht="73.5" customHeight="1" x14ac:dyDescent="0.3">
      <c r="A70" s="98"/>
      <c r="B70" s="99"/>
      <c r="C70" s="102"/>
      <c r="D70" s="105"/>
      <c r="E70" s="28" t="s">
        <v>27</v>
      </c>
      <c r="F70" s="28"/>
      <c r="G70" s="21" t="s">
        <v>124</v>
      </c>
      <c r="H70" s="21" t="s">
        <v>125</v>
      </c>
      <c r="I70" s="22">
        <v>3</v>
      </c>
      <c r="J70" s="22">
        <v>2</v>
      </c>
      <c r="K70" s="22">
        <v>2</v>
      </c>
      <c r="L70" s="22">
        <v>3</v>
      </c>
      <c r="M70" s="21">
        <f t="shared" si="0"/>
        <v>10</v>
      </c>
      <c r="N70" s="22">
        <v>1</v>
      </c>
      <c r="O70" s="24">
        <f t="shared" si="1"/>
        <v>10</v>
      </c>
      <c r="P70" s="25" t="str">
        <f t="shared" si="10"/>
        <v>Moderado</v>
      </c>
      <c r="Q70" s="25" t="str">
        <f t="shared" si="11"/>
        <v>NO</v>
      </c>
      <c r="R70" s="29" t="s">
        <v>126</v>
      </c>
      <c r="S70" s="22" t="s">
        <v>127</v>
      </c>
      <c r="T70" s="22">
        <v>3</v>
      </c>
      <c r="U70" s="22">
        <v>1</v>
      </c>
      <c r="V70" s="22">
        <v>1</v>
      </c>
      <c r="W70" s="21">
        <v>3</v>
      </c>
      <c r="X70" s="21">
        <f t="shared" si="7"/>
        <v>8</v>
      </c>
      <c r="Y70" s="22">
        <v>1</v>
      </c>
      <c r="Z70" s="24">
        <f t="shared" si="4"/>
        <v>8</v>
      </c>
      <c r="AA70" s="25" t="str">
        <f t="shared" si="12"/>
        <v>Tolerable</v>
      </c>
      <c r="AB70" s="25" t="str">
        <f t="shared" si="13"/>
        <v>NO</v>
      </c>
      <c r="AC70" s="26" t="s">
        <v>32</v>
      </c>
      <c r="AD70" s="27"/>
      <c r="AE70" s="27"/>
      <c r="AF70" s="27"/>
      <c r="AG70" s="27"/>
      <c r="AH70" s="27"/>
      <c r="AI70" s="27"/>
      <c r="AJ70" s="27"/>
    </row>
    <row r="71" spans="1:36" ht="73.5" customHeight="1" x14ac:dyDescent="0.3">
      <c r="A71" s="98"/>
      <c r="B71" s="99"/>
      <c r="C71" s="102"/>
      <c r="D71" s="105"/>
      <c r="E71" s="28" t="s">
        <v>27</v>
      </c>
      <c r="F71" s="28"/>
      <c r="G71" s="21" t="s">
        <v>128</v>
      </c>
      <c r="H71" s="21" t="s">
        <v>129</v>
      </c>
      <c r="I71" s="22">
        <v>1</v>
      </c>
      <c r="J71" s="22">
        <v>1</v>
      </c>
      <c r="K71" s="22">
        <v>2</v>
      </c>
      <c r="L71" s="22">
        <v>2</v>
      </c>
      <c r="M71" s="21">
        <f t="shared" si="0"/>
        <v>6</v>
      </c>
      <c r="N71" s="22">
        <v>2</v>
      </c>
      <c r="O71" s="24">
        <f t="shared" si="1"/>
        <v>12</v>
      </c>
      <c r="P71" s="25" t="str">
        <f t="shared" si="10"/>
        <v>Moderado</v>
      </c>
      <c r="Q71" s="25" t="str">
        <f t="shared" si="11"/>
        <v>NO</v>
      </c>
      <c r="R71" s="29" t="s">
        <v>130</v>
      </c>
      <c r="S71" s="22" t="s">
        <v>131</v>
      </c>
      <c r="T71" s="22">
        <v>1</v>
      </c>
      <c r="U71" s="22">
        <v>1</v>
      </c>
      <c r="V71" s="22">
        <v>1</v>
      </c>
      <c r="W71" s="21">
        <v>2</v>
      </c>
      <c r="X71" s="21">
        <f t="shared" si="7"/>
        <v>5</v>
      </c>
      <c r="Y71" s="22">
        <v>1</v>
      </c>
      <c r="Z71" s="24">
        <f t="shared" si="4"/>
        <v>5</v>
      </c>
      <c r="AA71" s="25" t="str">
        <f t="shared" si="12"/>
        <v>Tolerable</v>
      </c>
      <c r="AB71" s="25" t="str">
        <f t="shared" si="13"/>
        <v>NO</v>
      </c>
      <c r="AC71" s="26" t="s">
        <v>80</v>
      </c>
      <c r="AD71" s="27"/>
      <c r="AE71" s="27"/>
      <c r="AF71" s="27"/>
      <c r="AG71" s="27"/>
      <c r="AH71" s="27"/>
      <c r="AI71" s="27"/>
      <c r="AJ71" s="27"/>
    </row>
    <row r="72" spans="1:36" ht="73.5" customHeight="1" x14ac:dyDescent="0.3">
      <c r="A72" s="98"/>
      <c r="B72" s="99"/>
      <c r="C72" s="102"/>
      <c r="D72" s="105"/>
      <c r="E72" s="28" t="s">
        <v>27</v>
      </c>
      <c r="F72" s="28"/>
      <c r="G72" s="21" t="s">
        <v>132</v>
      </c>
      <c r="H72" s="21" t="s">
        <v>133</v>
      </c>
      <c r="I72" s="22">
        <v>1</v>
      </c>
      <c r="J72" s="22">
        <v>1</v>
      </c>
      <c r="K72" s="22">
        <v>2</v>
      </c>
      <c r="L72" s="22">
        <v>2</v>
      </c>
      <c r="M72" s="21">
        <f t="shared" si="0"/>
        <v>6</v>
      </c>
      <c r="N72" s="22">
        <v>3</v>
      </c>
      <c r="O72" s="24">
        <f t="shared" si="1"/>
        <v>18</v>
      </c>
      <c r="P72" s="25" t="str">
        <f t="shared" si="10"/>
        <v>Importante</v>
      </c>
      <c r="Q72" s="25" t="str">
        <f t="shared" si="11"/>
        <v>SÍ</v>
      </c>
      <c r="R72" s="29" t="s">
        <v>134</v>
      </c>
      <c r="S72" s="22" t="s">
        <v>135</v>
      </c>
      <c r="T72" s="22">
        <v>1</v>
      </c>
      <c r="U72" s="22">
        <v>1</v>
      </c>
      <c r="V72" s="22">
        <v>1</v>
      </c>
      <c r="W72" s="21">
        <v>2</v>
      </c>
      <c r="X72" s="21">
        <f t="shared" si="7"/>
        <v>5</v>
      </c>
      <c r="Y72" s="22">
        <v>2</v>
      </c>
      <c r="Z72" s="24">
        <f t="shared" si="4"/>
        <v>10</v>
      </c>
      <c r="AA72" s="25" t="str">
        <f t="shared" si="12"/>
        <v>Moderado</v>
      </c>
      <c r="AB72" s="25" t="str">
        <f t="shared" si="13"/>
        <v>NO</v>
      </c>
      <c r="AC72" s="26" t="s">
        <v>136</v>
      </c>
      <c r="AD72" s="27"/>
      <c r="AE72" s="27"/>
      <c r="AF72" s="27"/>
      <c r="AG72" s="27"/>
      <c r="AH72" s="27"/>
      <c r="AI72" s="27"/>
      <c r="AJ72" s="27"/>
    </row>
    <row r="73" spans="1:36" ht="73.5" customHeight="1" x14ac:dyDescent="0.3">
      <c r="A73" s="98"/>
      <c r="B73" s="99"/>
      <c r="C73" s="102"/>
      <c r="D73" s="105"/>
      <c r="E73" s="28" t="s">
        <v>27</v>
      </c>
      <c r="F73" s="28"/>
      <c r="G73" s="21" t="s">
        <v>46</v>
      </c>
      <c r="H73" s="21" t="s">
        <v>47</v>
      </c>
      <c r="I73" s="22">
        <v>3</v>
      </c>
      <c r="J73" s="22">
        <v>1</v>
      </c>
      <c r="K73" s="22">
        <v>1</v>
      </c>
      <c r="L73" s="22">
        <v>3</v>
      </c>
      <c r="M73" s="21">
        <f t="shared" si="0"/>
        <v>8</v>
      </c>
      <c r="N73" s="22">
        <v>2</v>
      </c>
      <c r="O73" s="24">
        <f t="shared" si="1"/>
        <v>16</v>
      </c>
      <c r="P73" s="25" t="str">
        <f t="shared" si="10"/>
        <v>Moderado</v>
      </c>
      <c r="Q73" s="25" t="str">
        <f t="shared" si="11"/>
        <v>NO</v>
      </c>
      <c r="R73" s="29" t="s">
        <v>137</v>
      </c>
      <c r="S73" s="22" t="s">
        <v>138</v>
      </c>
      <c r="T73" s="22">
        <v>3</v>
      </c>
      <c r="U73" s="22">
        <v>1</v>
      </c>
      <c r="V73" s="22">
        <v>1</v>
      </c>
      <c r="W73" s="21">
        <v>3</v>
      </c>
      <c r="X73" s="21">
        <f t="shared" si="7"/>
        <v>8</v>
      </c>
      <c r="Y73" s="22">
        <v>1</v>
      </c>
      <c r="Z73" s="24">
        <f t="shared" si="4"/>
        <v>8</v>
      </c>
      <c r="AA73" s="25" t="str">
        <f t="shared" si="12"/>
        <v>Tolerable</v>
      </c>
      <c r="AB73" s="25" t="str">
        <f t="shared" si="13"/>
        <v>NO</v>
      </c>
      <c r="AC73" s="26" t="s">
        <v>139</v>
      </c>
      <c r="AD73" s="27"/>
      <c r="AE73" s="27"/>
      <c r="AF73" s="27"/>
      <c r="AG73" s="27"/>
      <c r="AH73" s="27"/>
      <c r="AI73" s="27"/>
      <c r="AJ73" s="27"/>
    </row>
    <row r="74" spans="1:36" ht="73.5" customHeight="1" x14ac:dyDescent="0.3">
      <c r="A74" s="98"/>
      <c r="B74" s="100"/>
      <c r="C74" s="103"/>
      <c r="D74" s="106"/>
      <c r="E74" s="28" t="s">
        <v>27</v>
      </c>
      <c r="F74" s="28"/>
      <c r="G74" s="21" t="s">
        <v>65</v>
      </c>
      <c r="H74" s="21" t="s">
        <v>140</v>
      </c>
      <c r="I74" s="22">
        <v>3</v>
      </c>
      <c r="J74" s="22">
        <v>1</v>
      </c>
      <c r="K74" s="22">
        <v>1</v>
      </c>
      <c r="L74" s="22">
        <v>3</v>
      </c>
      <c r="M74" s="21">
        <f t="shared" si="0"/>
        <v>8</v>
      </c>
      <c r="N74" s="22">
        <v>3</v>
      </c>
      <c r="O74" s="24">
        <f t="shared" si="1"/>
        <v>24</v>
      </c>
      <c r="P74" s="25" t="str">
        <f t="shared" si="10"/>
        <v>Importante</v>
      </c>
      <c r="Q74" s="25" t="str">
        <f t="shared" si="11"/>
        <v>SÍ</v>
      </c>
      <c r="R74" s="26" t="s">
        <v>141</v>
      </c>
      <c r="S74" s="22" t="s">
        <v>142</v>
      </c>
      <c r="T74" s="22">
        <v>3</v>
      </c>
      <c r="U74" s="22">
        <v>1</v>
      </c>
      <c r="V74" s="22">
        <v>1</v>
      </c>
      <c r="W74" s="21">
        <v>3</v>
      </c>
      <c r="X74" s="21">
        <f t="shared" si="7"/>
        <v>8</v>
      </c>
      <c r="Y74" s="22">
        <v>1</v>
      </c>
      <c r="Z74" s="24">
        <f t="shared" si="4"/>
        <v>8</v>
      </c>
      <c r="AA74" s="25" t="str">
        <f t="shared" si="12"/>
        <v>Tolerable</v>
      </c>
      <c r="AB74" s="25" t="s">
        <v>143</v>
      </c>
      <c r="AC74" s="26" t="s">
        <v>144</v>
      </c>
      <c r="AD74" s="27"/>
      <c r="AE74" s="27"/>
      <c r="AF74" s="27"/>
      <c r="AG74" s="27"/>
      <c r="AH74" s="27"/>
      <c r="AI74" s="27"/>
      <c r="AJ74" s="27"/>
    </row>
  </sheetData>
  <mergeCells count="48">
    <mergeCell ref="A29:A35"/>
    <mergeCell ref="B29:B35"/>
    <mergeCell ref="C29:C35"/>
    <mergeCell ref="D29:D35"/>
    <mergeCell ref="A55:A74"/>
    <mergeCell ref="B58:B74"/>
    <mergeCell ref="C55:C74"/>
    <mergeCell ref="D55:D74"/>
    <mergeCell ref="A36:A45"/>
    <mergeCell ref="B36:B45"/>
    <mergeCell ref="C36:C45"/>
    <mergeCell ref="D36:D45"/>
    <mergeCell ref="A46:A54"/>
    <mergeCell ref="B46:B54"/>
    <mergeCell ref="C46:C54"/>
    <mergeCell ref="D46:D54"/>
    <mergeCell ref="T8:AB8"/>
    <mergeCell ref="I9:Q9"/>
    <mergeCell ref="A20:A28"/>
    <mergeCell ref="B20:B28"/>
    <mergeCell ref="C20:C28"/>
    <mergeCell ref="D20:D28"/>
    <mergeCell ref="A12:A19"/>
    <mergeCell ref="B12:B19"/>
    <mergeCell ref="C12:C19"/>
    <mergeCell ref="D12:D19"/>
    <mergeCell ref="Q10:Q11"/>
    <mergeCell ref="H8:H11"/>
    <mergeCell ref="I8:Q8"/>
    <mergeCell ref="T9:AB9"/>
    <mergeCell ref="I10:L10"/>
    <mergeCell ref="M10:M11"/>
    <mergeCell ref="N10:N11"/>
    <mergeCell ref="O10:O11"/>
    <mergeCell ref="P10:P11"/>
    <mergeCell ref="AA10:AA11"/>
    <mergeCell ref="AB10:AB11"/>
    <mergeCell ref="S10:S11"/>
    <mergeCell ref="T10:W10"/>
    <mergeCell ref="X10:X11"/>
    <mergeCell ref="Y10:Y11"/>
    <mergeCell ref="Z10:Z11"/>
    <mergeCell ref="G8:G11"/>
    <mergeCell ref="A8:A11"/>
    <mergeCell ref="B8:B11"/>
    <mergeCell ref="C8:C11"/>
    <mergeCell ref="D8:D11"/>
    <mergeCell ref="E8:F10"/>
  </mergeCells>
  <conditionalFormatting sqref="P1:P16 P20:P25 AA7 AA10:AA16 AA20:AA25">
    <cfRule type="cellIs" dxfId="253" priority="101" operator="equal">
      <formula>"No Aceptable"</formula>
    </cfRule>
  </conditionalFormatting>
  <conditionalFormatting sqref="P1:P16 P20:P25 AA7 AA10:AA16 AA20:AA25">
    <cfRule type="cellIs" dxfId="252" priority="102" operator="equal">
      <formula>"Importante"</formula>
    </cfRule>
  </conditionalFormatting>
  <conditionalFormatting sqref="P1:P16 P20:P25 AA7 AA10:AA16 AA20:AA25">
    <cfRule type="cellIs" dxfId="251" priority="103" operator="equal">
      <formula>"Moderado"</formula>
    </cfRule>
  </conditionalFormatting>
  <conditionalFormatting sqref="P1:P16 P20:P25 AA7 AA10:AA16 AA20:AA25">
    <cfRule type="cellIs" dxfId="250" priority="104" operator="equal">
      <formula>"Tolerable"</formula>
    </cfRule>
  </conditionalFormatting>
  <conditionalFormatting sqref="P1:P16 P20:P25 AA7 AA10:AA16 AA20:AA25">
    <cfRule type="cellIs" dxfId="249" priority="105" operator="equal">
      <formula>"Trivial"</formula>
    </cfRule>
  </conditionalFormatting>
  <conditionalFormatting sqref="G12:G14 G16 G20:G22 G24:G25">
    <cfRule type="expression" dxfId="248" priority="106">
      <formula>P12="No Aceptable"</formula>
    </cfRule>
  </conditionalFormatting>
  <conditionalFormatting sqref="P17 AA17">
    <cfRule type="cellIs" dxfId="247" priority="107" operator="equal">
      <formula>"No Aceptable"</formula>
    </cfRule>
  </conditionalFormatting>
  <conditionalFormatting sqref="P17 AA17">
    <cfRule type="cellIs" dxfId="246" priority="108" operator="equal">
      <formula>"Importante"</formula>
    </cfRule>
  </conditionalFormatting>
  <conditionalFormatting sqref="P17 AA17">
    <cfRule type="cellIs" dxfId="245" priority="109" operator="equal">
      <formula>"Moderado"</formula>
    </cfRule>
  </conditionalFormatting>
  <conditionalFormatting sqref="P17 AA17">
    <cfRule type="cellIs" dxfId="244" priority="110" operator="equal">
      <formula>"Tolerable"</formula>
    </cfRule>
  </conditionalFormatting>
  <conditionalFormatting sqref="P17 AA17">
    <cfRule type="cellIs" dxfId="243" priority="111" operator="equal">
      <formula>"Trivial"</formula>
    </cfRule>
  </conditionalFormatting>
  <conditionalFormatting sqref="G17">
    <cfRule type="expression" dxfId="242" priority="112">
      <formula>P17="No Aceptable"</formula>
    </cfRule>
  </conditionalFormatting>
  <conditionalFormatting sqref="P26:P27 AA26:AA27">
    <cfRule type="cellIs" dxfId="241" priority="113" operator="equal">
      <formula>"No Aceptable"</formula>
    </cfRule>
  </conditionalFormatting>
  <conditionalFormatting sqref="P26:P27 AA26:AA27">
    <cfRule type="cellIs" dxfId="240" priority="114" operator="equal">
      <formula>"Importante"</formula>
    </cfRule>
  </conditionalFormatting>
  <conditionalFormatting sqref="P26:P27 AA26:AA27">
    <cfRule type="cellIs" dxfId="239" priority="115" operator="equal">
      <formula>"Moderado"</formula>
    </cfRule>
  </conditionalFormatting>
  <conditionalFormatting sqref="P26:P27 AA26:AA27">
    <cfRule type="cellIs" dxfId="238" priority="116" operator="equal">
      <formula>"Tolerable"</formula>
    </cfRule>
  </conditionalFormatting>
  <conditionalFormatting sqref="P26:P27 AA26:AA27">
    <cfRule type="cellIs" dxfId="237" priority="117" operator="equal">
      <formula>"Trivial"</formula>
    </cfRule>
  </conditionalFormatting>
  <conditionalFormatting sqref="G26:G27">
    <cfRule type="expression" dxfId="236" priority="118">
      <formula>P26="No Aceptable"</formula>
    </cfRule>
  </conditionalFormatting>
  <conditionalFormatting sqref="P18:P19 AA18:AA19">
    <cfRule type="cellIs" dxfId="235" priority="119" operator="equal">
      <formula>"No Aceptable"</formula>
    </cfRule>
  </conditionalFormatting>
  <conditionalFormatting sqref="P18:P19 AA18:AA19">
    <cfRule type="cellIs" dxfId="234" priority="120" operator="equal">
      <formula>"Importante"</formula>
    </cfRule>
  </conditionalFormatting>
  <conditionalFormatting sqref="P18:P19 AA18:AA19">
    <cfRule type="cellIs" dxfId="233" priority="121" operator="equal">
      <formula>"Moderado"</formula>
    </cfRule>
  </conditionalFormatting>
  <conditionalFormatting sqref="P18:P19 AA18:AA19">
    <cfRule type="cellIs" dxfId="232" priority="122" operator="equal">
      <formula>"Tolerable"</formula>
    </cfRule>
  </conditionalFormatting>
  <conditionalFormatting sqref="P18:P19 AA18:AA19">
    <cfRule type="cellIs" dxfId="231" priority="123" operator="equal">
      <formula>"Trivial"</formula>
    </cfRule>
  </conditionalFormatting>
  <conditionalFormatting sqref="G18:G19">
    <cfRule type="expression" dxfId="230" priority="124">
      <formula>P18="No Aceptable"</formula>
    </cfRule>
  </conditionalFormatting>
  <conditionalFormatting sqref="P28 AA28">
    <cfRule type="cellIs" dxfId="229" priority="125" operator="equal">
      <formula>"No Aceptable"</formula>
    </cfRule>
  </conditionalFormatting>
  <conditionalFormatting sqref="P28 AA28">
    <cfRule type="cellIs" dxfId="228" priority="126" operator="equal">
      <formula>"Importante"</formula>
    </cfRule>
  </conditionalFormatting>
  <conditionalFormatting sqref="P28 AA28">
    <cfRule type="cellIs" dxfId="227" priority="127" operator="equal">
      <formula>"Moderado"</formula>
    </cfRule>
  </conditionalFormatting>
  <conditionalFormatting sqref="P28 AA28">
    <cfRule type="cellIs" dxfId="226" priority="128" operator="equal">
      <formula>"Tolerable"</formula>
    </cfRule>
  </conditionalFormatting>
  <conditionalFormatting sqref="P28 AA28">
    <cfRule type="cellIs" dxfId="225" priority="129" operator="equal">
      <formula>"Trivial"</formula>
    </cfRule>
  </conditionalFormatting>
  <conditionalFormatting sqref="G28">
    <cfRule type="expression" dxfId="224" priority="130">
      <formula>P28="No Aceptable"</formula>
    </cfRule>
  </conditionalFormatting>
  <conditionalFormatting sqref="P29:P32 P35 AA29:AA32 AA35">
    <cfRule type="cellIs" dxfId="223" priority="88" operator="equal">
      <formula>"No Aceptable"</formula>
    </cfRule>
  </conditionalFormatting>
  <conditionalFormatting sqref="P29:P32 P35 AA29:AA32 AA35">
    <cfRule type="cellIs" dxfId="222" priority="89" operator="equal">
      <formula>"Importante"</formula>
    </cfRule>
  </conditionalFormatting>
  <conditionalFormatting sqref="P29:P32 P35 AA29:AA32 AA35">
    <cfRule type="cellIs" dxfId="221" priority="90" operator="equal">
      <formula>"Moderado"</formula>
    </cfRule>
  </conditionalFormatting>
  <conditionalFormatting sqref="P29:P32 P35 AA29:AA32 AA35">
    <cfRule type="cellIs" dxfId="220" priority="91" operator="equal">
      <formula>"Tolerable"</formula>
    </cfRule>
  </conditionalFormatting>
  <conditionalFormatting sqref="P29:P32 P35 AA29:AA32 AA35">
    <cfRule type="cellIs" dxfId="219" priority="92" operator="equal">
      <formula>"Trivial"</formula>
    </cfRule>
  </conditionalFormatting>
  <conditionalFormatting sqref="G29:G31">
    <cfRule type="expression" dxfId="218" priority="93">
      <formula>P29="No Aceptable"</formula>
    </cfRule>
  </conditionalFormatting>
  <conditionalFormatting sqref="P33:P34 AA33:AA34">
    <cfRule type="cellIs" dxfId="217" priority="94" operator="equal">
      <formula>"No Aceptable"</formula>
    </cfRule>
  </conditionalFormatting>
  <conditionalFormatting sqref="P33:P34 AA33:AA34">
    <cfRule type="cellIs" dxfId="216" priority="95" operator="equal">
      <formula>"Importante"</formula>
    </cfRule>
  </conditionalFormatting>
  <conditionalFormatting sqref="P33:P34 AA33:AA34">
    <cfRule type="cellIs" dxfId="215" priority="96" operator="equal">
      <formula>"Moderado"</formula>
    </cfRule>
  </conditionalFormatting>
  <conditionalFormatting sqref="P33:P34 AA33:AA34">
    <cfRule type="cellIs" dxfId="214" priority="97" operator="equal">
      <formula>"Tolerable"</formula>
    </cfRule>
  </conditionalFormatting>
  <conditionalFormatting sqref="P33:P34 AA33:AA34">
    <cfRule type="cellIs" dxfId="213" priority="98" operator="equal">
      <formula>"Trivial"</formula>
    </cfRule>
  </conditionalFormatting>
  <conditionalFormatting sqref="G33:G34">
    <cfRule type="expression" dxfId="212" priority="99">
      <formula>P33="No Aceptable"</formula>
    </cfRule>
  </conditionalFormatting>
  <conditionalFormatting sqref="G35">
    <cfRule type="expression" dxfId="211" priority="100">
      <formula>P35="No Aceptable"</formula>
    </cfRule>
  </conditionalFormatting>
  <conditionalFormatting sqref="P36:P42 AA36:AA42">
    <cfRule type="cellIs" dxfId="210" priority="63" operator="equal">
      <formula>"No Aceptable"</formula>
    </cfRule>
  </conditionalFormatting>
  <conditionalFormatting sqref="P36:P42 AA36:AA42">
    <cfRule type="cellIs" dxfId="209" priority="64" operator="equal">
      <formula>"Importante"</formula>
    </cfRule>
  </conditionalFormatting>
  <conditionalFormatting sqref="P36:P42 AA36:AA42">
    <cfRule type="cellIs" dxfId="208" priority="65" operator="equal">
      <formula>"Moderado"</formula>
    </cfRule>
  </conditionalFormatting>
  <conditionalFormatting sqref="P36:P42 AA36:AA42">
    <cfRule type="cellIs" dxfId="207" priority="66" operator="equal">
      <formula>"Tolerable"</formula>
    </cfRule>
  </conditionalFormatting>
  <conditionalFormatting sqref="P36:P42 AA36:AA42">
    <cfRule type="cellIs" dxfId="206" priority="67" operator="equal">
      <formula>"Trivial"</formula>
    </cfRule>
  </conditionalFormatting>
  <conditionalFormatting sqref="G37:G42">
    <cfRule type="expression" dxfId="205" priority="68">
      <formula>P37="No Aceptable"</formula>
    </cfRule>
  </conditionalFormatting>
  <conditionalFormatting sqref="P44 AA44">
    <cfRule type="cellIs" dxfId="204" priority="69" operator="equal">
      <formula>"No Aceptable"</formula>
    </cfRule>
  </conditionalFormatting>
  <conditionalFormatting sqref="P44 AA44">
    <cfRule type="cellIs" dxfId="203" priority="70" operator="equal">
      <formula>"Importante"</formula>
    </cfRule>
  </conditionalFormatting>
  <conditionalFormatting sqref="P44 AA44">
    <cfRule type="cellIs" dxfId="202" priority="71" operator="equal">
      <formula>"Moderado"</formula>
    </cfRule>
  </conditionalFormatting>
  <conditionalFormatting sqref="P44 AA44">
    <cfRule type="cellIs" dxfId="201" priority="72" operator="equal">
      <formula>"Tolerable"</formula>
    </cfRule>
  </conditionalFormatting>
  <conditionalFormatting sqref="P44 AA44">
    <cfRule type="cellIs" dxfId="200" priority="73" operator="equal">
      <formula>"Trivial"</formula>
    </cfRule>
  </conditionalFormatting>
  <conditionalFormatting sqref="G44">
    <cfRule type="expression" dxfId="199" priority="74">
      <formula>P44="No Aceptable"</formula>
    </cfRule>
  </conditionalFormatting>
  <conditionalFormatting sqref="P45 AA45">
    <cfRule type="cellIs" dxfId="198" priority="75" operator="equal">
      <formula>"No Aceptable"</formula>
    </cfRule>
  </conditionalFormatting>
  <conditionalFormatting sqref="P45 AA45">
    <cfRule type="cellIs" dxfId="197" priority="76" operator="equal">
      <formula>"Importante"</formula>
    </cfRule>
  </conditionalFormatting>
  <conditionalFormatting sqref="P45 AA45">
    <cfRule type="cellIs" dxfId="196" priority="77" operator="equal">
      <formula>"Moderado"</formula>
    </cfRule>
  </conditionalFormatting>
  <conditionalFormatting sqref="P45 AA45">
    <cfRule type="cellIs" dxfId="195" priority="78" operator="equal">
      <formula>"Tolerable"</formula>
    </cfRule>
  </conditionalFormatting>
  <conditionalFormatting sqref="P45 AA45">
    <cfRule type="cellIs" dxfId="194" priority="79" operator="equal">
      <formula>"Trivial"</formula>
    </cfRule>
  </conditionalFormatting>
  <conditionalFormatting sqref="G45">
    <cfRule type="expression" dxfId="193" priority="80">
      <formula>P45="No Aceptable"</formula>
    </cfRule>
  </conditionalFormatting>
  <conditionalFormatting sqref="G36">
    <cfRule type="expression" dxfId="192" priority="81">
      <formula>P36="No Aceptable"</formula>
    </cfRule>
  </conditionalFormatting>
  <conditionalFormatting sqref="P43 AA43">
    <cfRule type="cellIs" dxfId="191" priority="82" operator="equal">
      <formula>"No Aceptable"</formula>
    </cfRule>
  </conditionalFormatting>
  <conditionalFormatting sqref="P43 AA43">
    <cfRule type="cellIs" dxfId="190" priority="83" operator="equal">
      <formula>"Importante"</formula>
    </cfRule>
  </conditionalFormatting>
  <conditionalFormatting sqref="P43 AA43">
    <cfRule type="cellIs" dxfId="189" priority="84" operator="equal">
      <formula>"Moderado"</formula>
    </cfRule>
  </conditionalFormatting>
  <conditionalFormatting sqref="P43 AA43">
    <cfRule type="cellIs" dxfId="188" priority="85" operator="equal">
      <formula>"Tolerable"</formula>
    </cfRule>
  </conditionalFormatting>
  <conditionalFormatting sqref="P43 AA43">
    <cfRule type="cellIs" dxfId="187" priority="86" operator="equal">
      <formula>"Trivial"</formula>
    </cfRule>
  </conditionalFormatting>
  <conditionalFormatting sqref="G43">
    <cfRule type="expression" dxfId="186" priority="87">
      <formula>P43="No Aceptable"</formula>
    </cfRule>
  </conditionalFormatting>
  <conditionalFormatting sqref="P51 AA51">
    <cfRule type="cellIs" dxfId="185" priority="8" operator="equal">
      <formula>"No Aceptable"</formula>
    </cfRule>
  </conditionalFormatting>
  <conditionalFormatting sqref="P51 AA51">
    <cfRule type="cellIs" dxfId="184" priority="9" operator="equal">
      <formula>"Importante"</formula>
    </cfRule>
  </conditionalFormatting>
  <conditionalFormatting sqref="P51 AA51">
    <cfRule type="cellIs" dxfId="183" priority="10" operator="equal">
      <formula>"Moderado"</formula>
    </cfRule>
  </conditionalFormatting>
  <conditionalFormatting sqref="P51 AA51">
    <cfRule type="cellIs" dxfId="182" priority="11" operator="equal">
      <formula>"Tolerable"</formula>
    </cfRule>
  </conditionalFormatting>
  <conditionalFormatting sqref="P51 AA51">
    <cfRule type="cellIs" dxfId="181" priority="12" operator="equal">
      <formula>"Trivial"</formula>
    </cfRule>
  </conditionalFormatting>
  <conditionalFormatting sqref="G51">
    <cfRule type="expression" dxfId="180" priority="13">
      <formula>P51="No Aceptable"</formula>
    </cfRule>
  </conditionalFormatting>
  <conditionalFormatting sqref="A46">
    <cfRule type="expression" dxfId="179" priority="14">
      <formula>J51="No Aceptable"</formula>
    </cfRule>
  </conditionalFormatting>
  <conditionalFormatting sqref="P48 AA48">
    <cfRule type="cellIs" dxfId="178" priority="15" operator="equal">
      <formula>"No Aceptable"</formula>
    </cfRule>
  </conditionalFormatting>
  <conditionalFormatting sqref="P48 AA48">
    <cfRule type="cellIs" dxfId="177" priority="16" operator="equal">
      <formula>"Importante"</formula>
    </cfRule>
  </conditionalFormatting>
  <conditionalFormatting sqref="P48 AA48">
    <cfRule type="cellIs" dxfId="176" priority="17" operator="equal">
      <formula>"Moderado"</formula>
    </cfRule>
  </conditionalFormatting>
  <conditionalFormatting sqref="P48 AA48">
    <cfRule type="cellIs" dxfId="175" priority="18" operator="equal">
      <formula>"Tolerable"</formula>
    </cfRule>
  </conditionalFormatting>
  <conditionalFormatting sqref="P48 AA48">
    <cfRule type="cellIs" dxfId="174" priority="19" operator="equal">
      <formula>"Trivial"</formula>
    </cfRule>
  </conditionalFormatting>
  <conditionalFormatting sqref="G48">
    <cfRule type="expression" dxfId="173" priority="20">
      <formula>P48="No Aceptable"</formula>
    </cfRule>
  </conditionalFormatting>
  <conditionalFormatting sqref="P47 AA47">
    <cfRule type="cellIs" dxfId="172" priority="21" operator="equal">
      <formula>"No Aceptable"</formula>
    </cfRule>
  </conditionalFormatting>
  <conditionalFormatting sqref="P47 AA47">
    <cfRule type="cellIs" dxfId="171" priority="22" operator="equal">
      <formula>"Importante"</formula>
    </cfRule>
  </conditionalFormatting>
  <conditionalFormatting sqref="P47 AA47">
    <cfRule type="cellIs" dxfId="170" priority="23" operator="equal">
      <formula>"Moderado"</formula>
    </cfRule>
  </conditionalFormatting>
  <conditionalFormatting sqref="P47 AA47">
    <cfRule type="cellIs" dxfId="169" priority="24" operator="equal">
      <formula>"Tolerable"</formula>
    </cfRule>
  </conditionalFormatting>
  <conditionalFormatting sqref="P47 AA47">
    <cfRule type="cellIs" dxfId="168" priority="25" operator="equal">
      <formula>"Trivial"</formula>
    </cfRule>
  </conditionalFormatting>
  <conditionalFormatting sqref="G47">
    <cfRule type="expression" dxfId="167" priority="26">
      <formula>P47="No Aceptable"</formula>
    </cfRule>
  </conditionalFormatting>
  <conditionalFormatting sqref="P46 AA46">
    <cfRule type="cellIs" dxfId="166" priority="27" operator="equal">
      <formula>"No Aceptable"</formula>
    </cfRule>
  </conditionalFormatting>
  <conditionalFormatting sqref="P46 AA46">
    <cfRule type="cellIs" dxfId="165" priority="28" operator="equal">
      <formula>"Importante"</formula>
    </cfRule>
  </conditionalFormatting>
  <conditionalFormatting sqref="P46 AA46">
    <cfRule type="cellIs" dxfId="164" priority="29" operator="equal">
      <formula>"Moderado"</formula>
    </cfRule>
  </conditionalFormatting>
  <conditionalFormatting sqref="P46 AA46">
    <cfRule type="cellIs" dxfId="163" priority="30" operator="equal">
      <formula>"Tolerable"</formula>
    </cfRule>
  </conditionalFormatting>
  <conditionalFormatting sqref="P46 AA46">
    <cfRule type="cellIs" dxfId="162" priority="31" operator="equal">
      <formula>"Trivial"</formula>
    </cfRule>
  </conditionalFormatting>
  <conditionalFormatting sqref="G46">
    <cfRule type="expression" dxfId="161" priority="32">
      <formula>P46="No Aceptable"</formula>
    </cfRule>
  </conditionalFormatting>
  <conditionalFormatting sqref="P50 AA50">
    <cfRule type="cellIs" dxfId="160" priority="33" operator="equal">
      <formula>"No Aceptable"</formula>
    </cfRule>
  </conditionalFormatting>
  <conditionalFormatting sqref="P50 AA50">
    <cfRule type="cellIs" dxfId="159" priority="34" operator="equal">
      <formula>"Importante"</formula>
    </cfRule>
  </conditionalFormatting>
  <conditionalFormatting sqref="P50 AA50">
    <cfRule type="cellIs" dxfId="158" priority="35" operator="equal">
      <formula>"Moderado"</formula>
    </cfRule>
  </conditionalFormatting>
  <conditionalFormatting sqref="P50 AA50">
    <cfRule type="cellIs" dxfId="157" priority="36" operator="equal">
      <formula>"Tolerable"</formula>
    </cfRule>
  </conditionalFormatting>
  <conditionalFormatting sqref="P50 AA50">
    <cfRule type="cellIs" dxfId="156" priority="37" operator="equal">
      <formula>"Trivial"</formula>
    </cfRule>
  </conditionalFormatting>
  <conditionalFormatting sqref="G50">
    <cfRule type="expression" dxfId="155" priority="38">
      <formula>P50="No Aceptable"</formula>
    </cfRule>
  </conditionalFormatting>
  <conditionalFormatting sqref="P49 AA49">
    <cfRule type="cellIs" dxfId="154" priority="39" operator="equal">
      <formula>"No Aceptable"</formula>
    </cfRule>
  </conditionalFormatting>
  <conditionalFormatting sqref="P49 AA49">
    <cfRule type="cellIs" dxfId="153" priority="40" operator="equal">
      <formula>"Importante"</formula>
    </cfRule>
  </conditionalFormatting>
  <conditionalFormatting sqref="P49 AA49">
    <cfRule type="cellIs" dxfId="152" priority="41" operator="equal">
      <formula>"Moderado"</formula>
    </cfRule>
  </conditionalFormatting>
  <conditionalFormatting sqref="P49 AA49">
    <cfRule type="cellIs" dxfId="151" priority="42" operator="equal">
      <formula>"Tolerable"</formula>
    </cfRule>
  </conditionalFormatting>
  <conditionalFormatting sqref="P49 AA49">
    <cfRule type="cellIs" dxfId="150" priority="43" operator="equal">
      <formula>"Trivial"</formula>
    </cfRule>
  </conditionalFormatting>
  <conditionalFormatting sqref="G49">
    <cfRule type="expression" dxfId="149" priority="44">
      <formula>P49="No Aceptable"</formula>
    </cfRule>
  </conditionalFormatting>
  <conditionalFormatting sqref="P52 AA52">
    <cfRule type="cellIs" dxfId="148" priority="45" operator="equal">
      <formula>"No Aceptable"</formula>
    </cfRule>
  </conditionalFormatting>
  <conditionalFormatting sqref="P52 AA52">
    <cfRule type="cellIs" dxfId="147" priority="46" operator="equal">
      <formula>"Importante"</formula>
    </cfRule>
  </conditionalFormatting>
  <conditionalFormatting sqref="P52 AA52">
    <cfRule type="cellIs" dxfId="146" priority="47" operator="equal">
      <formula>"Moderado"</formula>
    </cfRule>
  </conditionalFormatting>
  <conditionalFormatting sqref="P52 AA52">
    <cfRule type="cellIs" dxfId="145" priority="48" operator="equal">
      <formula>"Tolerable"</formula>
    </cfRule>
  </conditionalFormatting>
  <conditionalFormatting sqref="P52 AA52">
    <cfRule type="cellIs" dxfId="144" priority="49" operator="equal">
      <formula>"Trivial"</formula>
    </cfRule>
  </conditionalFormatting>
  <conditionalFormatting sqref="G52">
    <cfRule type="expression" dxfId="143" priority="50">
      <formula>P52="No Aceptable"</formula>
    </cfRule>
  </conditionalFormatting>
  <conditionalFormatting sqref="P54 AA54">
    <cfRule type="cellIs" dxfId="142" priority="51" operator="equal">
      <formula>"No Aceptable"</formula>
    </cfRule>
  </conditionalFormatting>
  <conditionalFormatting sqref="P54 AA54">
    <cfRule type="cellIs" dxfId="141" priority="52" operator="equal">
      <formula>"Importante"</formula>
    </cfRule>
  </conditionalFormatting>
  <conditionalFormatting sqref="P54 AA54">
    <cfRule type="cellIs" dxfId="140" priority="53" operator="equal">
      <formula>"Moderado"</formula>
    </cfRule>
  </conditionalFormatting>
  <conditionalFormatting sqref="P54 AA54">
    <cfRule type="cellIs" dxfId="139" priority="54" operator="equal">
      <formula>"Tolerable"</formula>
    </cfRule>
  </conditionalFormatting>
  <conditionalFormatting sqref="P54 AA54">
    <cfRule type="cellIs" dxfId="138" priority="55" operator="equal">
      <formula>"Trivial"</formula>
    </cfRule>
  </conditionalFormatting>
  <conditionalFormatting sqref="G54">
    <cfRule type="expression" dxfId="137" priority="56">
      <formula>P54="No Aceptable"</formula>
    </cfRule>
  </conditionalFormatting>
  <conditionalFormatting sqref="G53">
    <cfRule type="expression" dxfId="136" priority="57">
      <formula>P53="No Aceptable"</formula>
    </cfRule>
  </conditionalFormatting>
  <conditionalFormatting sqref="P53 AA53">
    <cfRule type="cellIs" dxfId="135" priority="58" operator="equal">
      <formula>"No Aceptable"</formula>
    </cfRule>
  </conditionalFormatting>
  <conditionalFormatting sqref="P53 AA53">
    <cfRule type="cellIs" dxfId="134" priority="59" operator="equal">
      <formula>"Importante"</formula>
    </cfRule>
  </conditionalFormatting>
  <conditionalFormatting sqref="P53 AA53">
    <cfRule type="cellIs" dxfId="133" priority="60" operator="equal">
      <formula>"Moderado"</formula>
    </cfRule>
  </conditionalFormatting>
  <conditionalFormatting sqref="P53 AA53">
    <cfRule type="cellIs" dxfId="132" priority="61" operator="equal">
      <formula>"Tolerable"</formula>
    </cfRule>
  </conditionalFormatting>
  <conditionalFormatting sqref="P53 AA53">
    <cfRule type="cellIs" dxfId="131" priority="62" operator="equal">
      <formula>"Trivial"</formula>
    </cfRule>
  </conditionalFormatting>
  <conditionalFormatting sqref="P55:P74 AA55:AA74">
    <cfRule type="cellIs" dxfId="130" priority="1" operator="equal">
      <formula>"No Aceptable"</formula>
    </cfRule>
  </conditionalFormatting>
  <conditionalFormatting sqref="P55:P74 AA55:AA74">
    <cfRule type="cellIs" dxfId="129" priority="2" operator="equal">
      <formula>"Importante"</formula>
    </cfRule>
  </conditionalFormatting>
  <conditionalFormatting sqref="P55:P74 AA55:AA74">
    <cfRule type="cellIs" dxfId="128" priority="3" operator="equal">
      <formula>"Moderado"</formula>
    </cfRule>
  </conditionalFormatting>
  <conditionalFormatting sqref="P55:P74 AA55:AA74">
    <cfRule type="cellIs" dxfId="127" priority="4" operator="equal">
      <formula>"Tolerable"</formula>
    </cfRule>
  </conditionalFormatting>
  <conditionalFormatting sqref="P55:P74 AA55:AA74">
    <cfRule type="cellIs" dxfId="126" priority="5" operator="equal">
      <formula>"Trivial"</formula>
    </cfRule>
  </conditionalFormatting>
  <conditionalFormatting sqref="G55:G64 G66:G74">
    <cfRule type="expression" dxfId="125" priority="6">
      <formula>P55="No Aceptable"</formula>
    </cfRule>
  </conditionalFormatting>
  <conditionalFormatting sqref="G65">
    <cfRule type="expression" dxfId="124" priority="7">
      <formula>P65="No Aceptable"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3"/>
  <sheetViews>
    <sheetView showGridLines="0" zoomScale="60" zoomScaleNormal="60" workbookViewId="0">
      <pane ySplit="11" topLeftCell="A12" activePane="bottomLeft" state="frozen"/>
      <selection pane="bottomLeft" activeCell="H15" sqref="H15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53.6640625" customWidth="1"/>
    <col min="8" max="8" width="39.88671875" customWidth="1"/>
    <col min="9" max="15" width="11.6640625" customWidth="1"/>
    <col min="16" max="17" width="14.6640625" customWidth="1"/>
    <col min="18" max="18" width="69.332031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76" t="s">
        <v>0</v>
      </c>
      <c r="B8" s="76" t="s">
        <v>1</v>
      </c>
      <c r="C8" s="76" t="s">
        <v>2</v>
      </c>
      <c r="D8" s="76" t="s">
        <v>3</v>
      </c>
      <c r="E8" s="80" t="s">
        <v>4</v>
      </c>
      <c r="F8" s="119"/>
      <c r="G8" s="76" t="s">
        <v>145</v>
      </c>
      <c r="H8" s="93" t="s">
        <v>6</v>
      </c>
      <c r="I8" s="86" t="s">
        <v>7</v>
      </c>
      <c r="J8" s="112"/>
      <c r="K8" s="112"/>
      <c r="L8" s="112"/>
      <c r="M8" s="112"/>
      <c r="N8" s="112"/>
      <c r="O8" s="112"/>
      <c r="P8" s="112"/>
      <c r="Q8" s="113"/>
      <c r="R8" s="14"/>
      <c r="S8" s="14"/>
      <c r="T8" s="86"/>
      <c r="U8" s="112"/>
      <c r="V8" s="112"/>
      <c r="W8" s="112"/>
      <c r="X8" s="112"/>
      <c r="Y8" s="112"/>
      <c r="Z8" s="112"/>
      <c r="AA8" s="112"/>
      <c r="AB8" s="113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95"/>
      <c r="B9" s="95"/>
      <c r="C9" s="95"/>
      <c r="D9" s="95"/>
      <c r="E9" s="120"/>
      <c r="F9" s="121"/>
      <c r="G9" s="95"/>
      <c r="H9" s="95"/>
      <c r="I9" s="86" t="s">
        <v>7</v>
      </c>
      <c r="J9" s="112"/>
      <c r="K9" s="112"/>
      <c r="L9" s="112"/>
      <c r="M9" s="112"/>
      <c r="N9" s="112"/>
      <c r="O9" s="112"/>
      <c r="P9" s="112"/>
      <c r="Q9" s="113"/>
      <c r="R9" s="16"/>
      <c r="S9" s="16"/>
      <c r="T9" s="86" t="s">
        <v>8</v>
      </c>
      <c r="U9" s="112"/>
      <c r="V9" s="112"/>
      <c r="W9" s="112"/>
      <c r="X9" s="112"/>
      <c r="Y9" s="112"/>
      <c r="Z9" s="112"/>
      <c r="AA9" s="112"/>
      <c r="AB9" s="113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95"/>
      <c r="B10" s="95"/>
      <c r="C10" s="95"/>
      <c r="D10" s="95"/>
      <c r="E10" s="122"/>
      <c r="F10" s="123"/>
      <c r="G10" s="95"/>
      <c r="H10" s="95"/>
      <c r="I10" s="89" t="s">
        <v>9</v>
      </c>
      <c r="J10" s="112"/>
      <c r="K10" s="112"/>
      <c r="L10" s="113"/>
      <c r="M10" s="90" t="s">
        <v>10</v>
      </c>
      <c r="N10" s="90" t="s">
        <v>11</v>
      </c>
      <c r="O10" s="90" t="s">
        <v>12</v>
      </c>
      <c r="P10" s="90" t="s">
        <v>13</v>
      </c>
      <c r="Q10" s="90" t="s">
        <v>14</v>
      </c>
      <c r="R10" s="16" t="s">
        <v>15</v>
      </c>
      <c r="S10" s="92" t="s">
        <v>16</v>
      </c>
      <c r="T10" s="89" t="s">
        <v>9</v>
      </c>
      <c r="U10" s="112"/>
      <c r="V10" s="112"/>
      <c r="W10" s="113"/>
      <c r="X10" s="90" t="s">
        <v>10</v>
      </c>
      <c r="Y10" s="90" t="s">
        <v>11</v>
      </c>
      <c r="Z10" s="90" t="s">
        <v>12</v>
      </c>
      <c r="AA10" s="90" t="s">
        <v>13</v>
      </c>
      <c r="AB10" s="90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5.75" customHeight="1" x14ac:dyDescent="0.3">
      <c r="A11" s="114"/>
      <c r="B11" s="96"/>
      <c r="C11" s="114"/>
      <c r="D11" s="114"/>
      <c r="E11" s="17" t="s">
        <v>18</v>
      </c>
      <c r="F11" s="18" t="s">
        <v>19</v>
      </c>
      <c r="G11" s="96"/>
      <c r="H11" s="96"/>
      <c r="I11" s="19" t="s">
        <v>20</v>
      </c>
      <c r="J11" s="19" t="s">
        <v>21</v>
      </c>
      <c r="K11" s="19" t="s">
        <v>22</v>
      </c>
      <c r="L11" s="19" t="s">
        <v>23</v>
      </c>
      <c r="M11" s="114"/>
      <c r="N11" s="114"/>
      <c r="O11" s="114"/>
      <c r="P11" s="114"/>
      <c r="Q11" s="114"/>
      <c r="R11" s="16"/>
      <c r="S11" s="114"/>
      <c r="T11" s="19" t="s">
        <v>20</v>
      </c>
      <c r="U11" s="19" t="s">
        <v>21</v>
      </c>
      <c r="V11" s="19" t="s">
        <v>22</v>
      </c>
      <c r="W11" s="19" t="s">
        <v>23</v>
      </c>
      <c r="X11" s="114"/>
      <c r="Y11" s="114"/>
      <c r="Z11" s="114"/>
      <c r="AA11" s="114"/>
      <c r="AB11" s="114"/>
      <c r="AC11" s="16"/>
      <c r="AD11" s="15"/>
      <c r="AE11" s="15"/>
      <c r="AF11" s="15"/>
      <c r="AG11" s="15"/>
      <c r="AH11" s="15"/>
      <c r="AI11" s="15"/>
      <c r="AJ11" s="15"/>
    </row>
    <row r="12" spans="1:36" ht="36.75" customHeight="1" x14ac:dyDescent="0.3">
      <c r="A12" s="91">
        <v>1</v>
      </c>
      <c r="B12" s="91" t="s">
        <v>146</v>
      </c>
      <c r="C12" s="91" t="s">
        <v>147</v>
      </c>
      <c r="D12" s="91" t="s">
        <v>148</v>
      </c>
      <c r="E12" s="28" t="s">
        <v>27</v>
      </c>
      <c r="F12" s="28"/>
      <c r="G12" s="21" t="s">
        <v>120</v>
      </c>
      <c r="H12" s="21" t="s">
        <v>121</v>
      </c>
      <c r="I12" s="21">
        <v>1</v>
      </c>
      <c r="J12" s="21">
        <v>3</v>
      </c>
      <c r="K12" s="21">
        <v>2</v>
      </c>
      <c r="L12" s="21">
        <v>3</v>
      </c>
      <c r="M12" s="21">
        <f>I12+J12+K12+L12</f>
        <v>9</v>
      </c>
      <c r="N12" s="21">
        <v>1</v>
      </c>
      <c r="O12" s="24">
        <f>M12*N12</f>
        <v>9</v>
      </c>
      <c r="P12" s="25" t="str">
        <f>IF(G12="No","It",IF(O12&lt;=4,"Trivial",IF(O12&lt;=8,"Tolerable",IF(O12&lt;=16,"Moderado",IF(O12&lt;=24,"Importante",IF(O12&lt;=36,"No Aceptable"))))))</f>
        <v>Moderado</v>
      </c>
      <c r="Q12" s="25" t="str">
        <f>IF(P12="Trivial","NO",IF(P12="Tolerable","NO",IF(P12="Moderado","NO",IF(P12="Importante","SÍ",IF(P12="No Aceptable","SÍ")))))</f>
        <v>NO</v>
      </c>
      <c r="R12" s="26" t="s">
        <v>149</v>
      </c>
      <c r="S12" s="23" t="s">
        <v>49</v>
      </c>
      <c r="T12" s="21">
        <v>1</v>
      </c>
      <c r="U12" s="21">
        <v>1</v>
      </c>
      <c r="V12" s="21">
        <v>1</v>
      </c>
      <c r="W12" s="21">
        <v>3</v>
      </c>
      <c r="X12" s="21">
        <f>T12+U12+V12+W12</f>
        <v>6</v>
      </c>
      <c r="Y12" s="21">
        <v>1</v>
      </c>
      <c r="Z12" s="24">
        <f>X12*Y12</f>
        <v>6</v>
      </c>
      <c r="AA12" s="25" t="str">
        <f>IF(R12="No","It",IF(Z12&lt;=4,"Trivial",IF(Z12&lt;=8,"Tolerable",IF(Z12&lt;=16,"Moderado",IF(Z12&lt;=24,"Importante",IF(Z12&lt;=36,"No Aceptable"))))))</f>
        <v>Tolerable</v>
      </c>
      <c r="AB12" s="25" t="str">
        <f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38.25" customHeight="1" x14ac:dyDescent="0.3">
      <c r="A13" s="95"/>
      <c r="B13" s="95"/>
      <c r="C13" s="95"/>
      <c r="D13" s="95"/>
      <c r="E13" s="28" t="s">
        <v>27</v>
      </c>
      <c r="F13" s="28"/>
      <c r="G13" s="21" t="s">
        <v>65</v>
      </c>
      <c r="H13" s="21" t="s">
        <v>66</v>
      </c>
      <c r="I13" s="21">
        <v>1</v>
      </c>
      <c r="J13" s="21">
        <v>1</v>
      </c>
      <c r="K13" s="21">
        <v>2</v>
      </c>
      <c r="L13" s="21">
        <v>3</v>
      </c>
      <c r="M13" s="21">
        <v>7</v>
      </c>
      <c r="N13" s="21">
        <v>2</v>
      </c>
      <c r="O13" s="24">
        <v>14</v>
      </c>
      <c r="P13" s="40" t="s">
        <v>150</v>
      </c>
      <c r="Q13" s="25" t="s">
        <v>143</v>
      </c>
      <c r="R13" s="26" t="s">
        <v>67</v>
      </c>
      <c r="S13" s="23" t="s">
        <v>49</v>
      </c>
      <c r="T13" s="21">
        <v>1</v>
      </c>
      <c r="U13" s="21">
        <v>1</v>
      </c>
      <c r="V13" s="21">
        <v>1</v>
      </c>
      <c r="W13" s="21">
        <v>3</v>
      </c>
      <c r="X13" s="21">
        <v>6</v>
      </c>
      <c r="Y13" s="21">
        <v>1</v>
      </c>
      <c r="Z13" s="24">
        <v>6</v>
      </c>
      <c r="AA13" s="41" t="s">
        <v>151</v>
      </c>
      <c r="AB13" s="25" t="s">
        <v>143</v>
      </c>
      <c r="AC13" s="26" t="s">
        <v>152</v>
      </c>
      <c r="AD13" s="27"/>
      <c r="AE13" s="27"/>
      <c r="AF13" s="27"/>
      <c r="AG13" s="27"/>
      <c r="AH13" s="27"/>
      <c r="AI13" s="27"/>
      <c r="AJ13" s="27"/>
    </row>
    <row r="14" spans="1:36" ht="34.5" customHeight="1" x14ac:dyDescent="0.3">
      <c r="A14" s="95"/>
      <c r="B14" s="95"/>
      <c r="C14" s="95"/>
      <c r="D14" s="95"/>
      <c r="E14" s="28" t="s">
        <v>27</v>
      </c>
      <c r="F14" s="28"/>
      <c r="G14" s="21" t="s">
        <v>153</v>
      </c>
      <c r="H14" s="21" t="s">
        <v>102</v>
      </c>
      <c r="I14" s="21">
        <v>1</v>
      </c>
      <c r="J14" s="21">
        <v>2</v>
      </c>
      <c r="K14" s="21">
        <v>2</v>
      </c>
      <c r="L14" s="21">
        <v>3</v>
      </c>
      <c r="M14" s="21">
        <f t="shared" ref="M14:M35" si="0">I14+J14+K14+L14</f>
        <v>8</v>
      </c>
      <c r="N14" s="21">
        <v>2</v>
      </c>
      <c r="O14" s="24">
        <f t="shared" ref="O14:O35" si="1">M14*N14</f>
        <v>16</v>
      </c>
      <c r="P14" s="25" t="str">
        <f t="shared" ref="P14:P35" si="2">IF(G14="No","It",IF(O14&lt;=4,"Trivial",IF(O14&lt;=8,"Tolerable",IF(O14&lt;=16,"Moderado",IF(O14&lt;=24,"Importante",IF(O14&lt;=36,"No Aceptable"))))))</f>
        <v>Moderado</v>
      </c>
      <c r="Q14" s="25" t="str">
        <f t="shared" ref="Q14:Q35" si="3">IF(P14="Trivial","NO",IF(P14="Tolerable","NO",IF(P14="Moderado","NO",IF(P14="Importante","SÍ",IF(P14="No Aceptable","SÍ")))))</f>
        <v>NO</v>
      </c>
      <c r="R14" s="26" t="s">
        <v>154</v>
      </c>
      <c r="S14" s="23" t="s">
        <v>49</v>
      </c>
      <c r="T14" s="21">
        <v>1</v>
      </c>
      <c r="U14" s="21">
        <v>1</v>
      </c>
      <c r="V14" s="21">
        <v>1</v>
      </c>
      <c r="W14" s="21">
        <v>3</v>
      </c>
      <c r="X14" s="21">
        <f>I14+J14+K14+L14</f>
        <v>8</v>
      </c>
      <c r="Y14" s="21">
        <v>1</v>
      </c>
      <c r="Z14" s="24">
        <f t="shared" ref="Z14:Z35" si="4">X14*Y14</f>
        <v>8</v>
      </c>
      <c r="AA14" s="25" t="str">
        <f t="shared" ref="AA14:AA20" si="5">IF(R14="No","It",IF(Z14&lt;=4,"Trivial",IF(Z14&lt;=8,"Tolerable",IF(Z14&lt;=16,"Moderado",IF(Z14&lt;=24,"Importante",IF(Z14&lt;=36,"No Aceptable"))))))</f>
        <v>Tolerable</v>
      </c>
      <c r="AB14" s="25" t="str">
        <f t="shared" ref="AB14:AB20" si="6">IF(AA14="Trivial","NO",IF(AA14="Tolerable","NO",IF(AA14="Moderado","NO",IF(AA14="Importante","SÍ",IF(AA14="No Aceptable","SÍ")))))</f>
        <v>NO</v>
      </c>
      <c r="AC14" s="26" t="s">
        <v>32</v>
      </c>
      <c r="AD14" s="27"/>
      <c r="AE14" s="27"/>
      <c r="AF14" s="27"/>
      <c r="AG14" s="27"/>
      <c r="AH14" s="27"/>
      <c r="AI14" s="27"/>
      <c r="AJ14" s="27"/>
    </row>
    <row r="15" spans="1:36" ht="57.75" customHeight="1" x14ac:dyDescent="0.3">
      <c r="A15" s="95"/>
      <c r="B15" s="95"/>
      <c r="C15" s="95"/>
      <c r="D15" s="95"/>
      <c r="E15" s="28" t="s">
        <v>27</v>
      </c>
      <c r="F15" s="28"/>
      <c r="G15" s="42" t="s">
        <v>155</v>
      </c>
      <c r="H15" s="42" t="s">
        <v>156</v>
      </c>
      <c r="I15" s="21">
        <v>1</v>
      </c>
      <c r="J15" s="21">
        <v>2</v>
      </c>
      <c r="K15" s="21">
        <v>2</v>
      </c>
      <c r="L15" s="21">
        <v>3</v>
      </c>
      <c r="M15" s="21">
        <f t="shared" si="0"/>
        <v>8</v>
      </c>
      <c r="N15" s="21">
        <v>2</v>
      </c>
      <c r="O15" s="24">
        <f t="shared" si="1"/>
        <v>16</v>
      </c>
      <c r="P15" s="25" t="str">
        <f t="shared" si="2"/>
        <v>Moderado</v>
      </c>
      <c r="Q15" s="25" t="str">
        <f t="shared" si="3"/>
        <v>NO</v>
      </c>
      <c r="R15" s="30" t="s">
        <v>157</v>
      </c>
      <c r="S15" s="22" t="s">
        <v>158</v>
      </c>
      <c r="T15" s="21">
        <v>1</v>
      </c>
      <c r="U15" s="43">
        <v>1</v>
      </c>
      <c r="V15" s="21">
        <v>1</v>
      </c>
      <c r="W15" s="21">
        <v>3</v>
      </c>
      <c r="X15" s="21">
        <f>T15+U14+V15+W15</f>
        <v>6</v>
      </c>
      <c r="Y15" s="21">
        <v>1</v>
      </c>
      <c r="Z15" s="24">
        <f t="shared" si="4"/>
        <v>6</v>
      </c>
      <c r="AA15" s="25" t="str">
        <f t="shared" si="5"/>
        <v>Tolerable</v>
      </c>
      <c r="AB15" s="25" t="str">
        <f t="shared" si="6"/>
        <v>NO</v>
      </c>
      <c r="AC15" s="26" t="s">
        <v>111</v>
      </c>
      <c r="AD15" s="27"/>
      <c r="AE15" s="27"/>
      <c r="AF15" s="27"/>
      <c r="AG15" s="27"/>
      <c r="AH15" s="27"/>
      <c r="AI15" s="27"/>
      <c r="AJ15" s="27"/>
    </row>
    <row r="16" spans="1:36" ht="33" customHeight="1" x14ac:dyDescent="0.3">
      <c r="A16" s="95"/>
      <c r="B16" s="95"/>
      <c r="C16" s="95"/>
      <c r="D16" s="95"/>
      <c r="E16" s="28" t="s">
        <v>27</v>
      </c>
      <c r="F16" s="28"/>
      <c r="G16" s="22" t="s">
        <v>159</v>
      </c>
      <c r="H16" s="22" t="s">
        <v>160</v>
      </c>
      <c r="I16" s="21">
        <v>1</v>
      </c>
      <c r="J16" s="21">
        <v>2</v>
      </c>
      <c r="K16" s="21">
        <v>2</v>
      </c>
      <c r="L16" s="21">
        <v>3</v>
      </c>
      <c r="M16" s="21">
        <f t="shared" si="0"/>
        <v>8</v>
      </c>
      <c r="N16" s="21">
        <v>1</v>
      </c>
      <c r="O16" s="24">
        <f t="shared" si="1"/>
        <v>8</v>
      </c>
      <c r="P16" s="25" t="str">
        <f t="shared" si="2"/>
        <v>Tolerable</v>
      </c>
      <c r="Q16" s="25" t="str">
        <f t="shared" si="3"/>
        <v>NO</v>
      </c>
      <c r="R16" s="30" t="s">
        <v>161</v>
      </c>
      <c r="S16" s="23" t="s">
        <v>49</v>
      </c>
      <c r="T16" s="21">
        <v>1</v>
      </c>
      <c r="U16" s="21">
        <v>1</v>
      </c>
      <c r="V16" s="21">
        <v>1</v>
      </c>
      <c r="W16" s="21">
        <v>3</v>
      </c>
      <c r="X16" s="21">
        <f t="shared" ref="X16:X35" si="7">T16+U16+V16+W16</f>
        <v>6</v>
      </c>
      <c r="Y16" s="21">
        <v>1</v>
      </c>
      <c r="Z16" s="24">
        <f t="shared" si="4"/>
        <v>6</v>
      </c>
      <c r="AA16" s="25" t="str">
        <f t="shared" si="5"/>
        <v>Tolerable</v>
      </c>
      <c r="AB16" s="25" t="str">
        <f t="shared" si="6"/>
        <v>NO</v>
      </c>
      <c r="AC16" s="26" t="s">
        <v>32</v>
      </c>
      <c r="AD16" s="27"/>
      <c r="AE16" s="27"/>
      <c r="AF16" s="27"/>
      <c r="AG16" s="27"/>
      <c r="AH16" s="27"/>
      <c r="AI16" s="27"/>
      <c r="AJ16" s="27"/>
    </row>
    <row r="17" spans="1:36" ht="92.25" customHeight="1" x14ac:dyDescent="0.3">
      <c r="A17" s="95"/>
      <c r="B17" s="95"/>
      <c r="C17" s="95"/>
      <c r="D17" s="95"/>
      <c r="E17" s="20" t="s">
        <v>27</v>
      </c>
      <c r="F17" s="20"/>
      <c r="G17" s="23" t="s">
        <v>95</v>
      </c>
      <c r="H17" s="39" t="s">
        <v>162</v>
      </c>
      <c r="I17" s="23">
        <v>1</v>
      </c>
      <c r="J17" s="21">
        <v>2</v>
      </c>
      <c r="K17" s="21">
        <v>2</v>
      </c>
      <c r="L17" s="21">
        <v>3</v>
      </c>
      <c r="M17" s="21">
        <f t="shared" si="0"/>
        <v>8</v>
      </c>
      <c r="N17" s="23">
        <v>1</v>
      </c>
      <c r="O17" s="24">
        <f t="shared" si="1"/>
        <v>8</v>
      </c>
      <c r="P17" s="25" t="str">
        <f t="shared" si="2"/>
        <v>Tolerable</v>
      </c>
      <c r="Q17" s="25" t="str">
        <f t="shared" si="3"/>
        <v>NO</v>
      </c>
      <c r="R17" s="30" t="s">
        <v>97</v>
      </c>
      <c r="S17" s="22" t="s">
        <v>163</v>
      </c>
      <c r="T17" s="23">
        <v>1</v>
      </c>
      <c r="U17" s="21">
        <v>1</v>
      </c>
      <c r="V17" s="21">
        <v>1</v>
      </c>
      <c r="W17" s="21">
        <v>3</v>
      </c>
      <c r="X17" s="21">
        <f t="shared" si="7"/>
        <v>6</v>
      </c>
      <c r="Y17" s="23">
        <v>1</v>
      </c>
      <c r="Z17" s="24">
        <f t="shared" si="4"/>
        <v>6</v>
      </c>
      <c r="AA17" s="25" t="str">
        <f t="shared" si="5"/>
        <v>Tolerable</v>
      </c>
      <c r="AB17" s="25" t="str">
        <f t="shared" si="6"/>
        <v>NO</v>
      </c>
      <c r="AC17" s="26" t="s">
        <v>32</v>
      </c>
      <c r="AD17" s="27"/>
      <c r="AE17" s="27"/>
      <c r="AF17" s="27"/>
      <c r="AG17" s="27"/>
      <c r="AH17" s="27"/>
      <c r="AI17" s="27"/>
      <c r="AJ17" s="27"/>
    </row>
    <row r="18" spans="1:36" ht="29.25" customHeight="1" x14ac:dyDescent="0.3">
      <c r="A18" s="95"/>
      <c r="B18" s="95"/>
      <c r="C18" s="95"/>
      <c r="D18" s="95"/>
      <c r="E18" s="20" t="s">
        <v>27</v>
      </c>
      <c r="F18" s="20"/>
      <c r="G18" s="21" t="s">
        <v>28</v>
      </c>
      <c r="H18" s="22" t="s">
        <v>29</v>
      </c>
      <c r="I18" s="23">
        <v>1</v>
      </c>
      <c r="J18" s="21">
        <v>2</v>
      </c>
      <c r="K18" s="21">
        <v>2</v>
      </c>
      <c r="L18" s="21">
        <v>3</v>
      </c>
      <c r="M18" s="21">
        <f t="shared" si="0"/>
        <v>8</v>
      </c>
      <c r="N18" s="23">
        <v>1</v>
      </c>
      <c r="O18" s="24">
        <f t="shared" si="1"/>
        <v>8</v>
      </c>
      <c r="P18" s="25" t="str">
        <f t="shared" si="2"/>
        <v>Tolerable</v>
      </c>
      <c r="Q18" s="25" t="str">
        <f t="shared" si="3"/>
        <v>NO</v>
      </c>
      <c r="R18" s="26" t="s">
        <v>164</v>
      </c>
      <c r="S18" s="23" t="s">
        <v>49</v>
      </c>
      <c r="T18" s="23">
        <v>1</v>
      </c>
      <c r="U18" s="21">
        <v>1</v>
      </c>
      <c r="V18" s="21">
        <v>1</v>
      </c>
      <c r="W18" s="21">
        <v>3</v>
      </c>
      <c r="X18" s="21">
        <f t="shared" si="7"/>
        <v>6</v>
      </c>
      <c r="Y18" s="23">
        <v>1</v>
      </c>
      <c r="Z18" s="24">
        <f t="shared" si="4"/>
        <v>6</v>
      </c>
      <c r="AA18" s="25" t="str">
        <f t="shared" si="5"/>
        <v>Tolerable</v>
      </c>
      <c r="AB18" s="25" t="str">
        <f t="shared" si="6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29.25" customHeight="1" x14ac:dyDescent="0.3">
      <c r="A19" s="95"/>
      <c r="B19" s="96"/>
      <c r="C19" s="96"/>
      <c r="D19" s="96"/>
      <c r="E19" s="21"/>
      <c r="F19" s="20" t="s">
        <v>27</v>
      </c>
      <c r="G19" s="22" t="s">
        <v>60</v>
      </c>
      <c r="H19" s="22" t="s">
        <v>61</v>
      </c>
      <c r="I19" s="23">
        <v>1</v>
      </c>
      <c r="J19" s="23">
        <v>1</v>
      </c>
      <c r="K19" s="23">
        <v>1</v>
      </c>
      <c r="L19" s="23">
        <v>3</v>
      </c>
      <c r="M19" s="21">
        <f t="shared" si="0"/>
        <v>6</v>
      </c>
      <c r="N19" s="23">
        <v>3</v>
      </c>
      <c r="O19" s="24">
        <f t="shared" si="1"/>
        <v>18</v>
      </c>
      <c r="P19" s="25" t="str">
        <f t="shared" si="2"/>
        <v>Importante</v>
      </c>
      <c r="Q19" s="25" t="str">
        <f t="shared" si="3"/>
        <v>SÍ</v>
      </c>
      <c r="R19" s="26" t="s">
        <v>62</v>
      </c>
      <c r="S19" s="22" t="s">
        <v>63</v>
      </c>
      <c r="T19" s="23">
        <v>1</v>
      </c>
      <c r="U19" s="23">
        <v>1</v>
      </c>
      <c r="V19" s="23">
        <v>1</v>
      </c>
      <c r="W19" s="23">
        <v>3</v>
      </c>
      <c r="X19" s="21">
        <f t="shared" si="7"/>
        <v>6</v>
      </c>
      <c r="Y19" s="23">
        <v>2</v>
      </c>
      <c r="Z19" s="24">
        <f t="shared" si="4"/>
        <v>12</v>
      </c>
      <c r="AA19" s="25" t="str">
        <f t="shared" si="5"/>
        <v>Moderado</v>
      </c>
      <c r="AB19" s="25" t="str">
        <f t="shared" si="6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36" customHeight="1" x14ac:dyDescent="0.3">
      <c r="A20" s="94">
        <v>2</v>
      </c>
      <c r="B20" s="94" t="s">
        <v>165</v>
      </c>
      <c r="C20" s="94" t="s">
        <v>166</v>
      </c>
      <c r="D20" s="94" t="s">
        <v>167</v>
      </c>
      <c r="E20" s="28" t="s">
        <v>27</v>
      </c>
      <c r="F20" s="28"/>
      <c r="G20" s="21" t="s">
        <v>120</v>
      </c>
      <c r="H20" s="21" t="s">
        <v>121</v>
      </c>
      <c r="I20" s="21">
        <v>1</v>
      </c>
      <c r="J20" s="21">
        <v>1</v>
      </c>
      <c r="K20" s="21">
        <v>2</v>
      </c>
      <c r="L20" s="21">
        <v>3</v>
      </c>
      <c r="M20" s="21">
        <f t="shared" si="0"/>
        <v>7</v>
      </c>
      <c r="N20" s="21">
        <v>1</v>
      </c>
      <c r="O20" s="24">
        <f t="shared" si="1"/>
        <v>7</v>
      </c>
      <c r="P20" s="25" t="str">
        <f t="shared" si="2"/>
        <v>Tolerable</v>
      </c>
      <c r="Q20" s="25" t="str">
        <f t="shared" si="3"/>
        <v>NO</v>
      </c>
      <c r="R20" s="26" t="s">
        <v>149</v>
      </c>
      <c r="S20" s="23" t="s">
        <v>49</v>
      </c>
      <c r="T20" s="21">
        <v>1</v>
      </c>
      <c r="U20" s="21">
        <v>2</v>
      </c>
      <c r="V20" s="21">
        <v>2</v>
      </c>
      <c r="W20" s="21">
        <v>3</v>
      </c>
      <c r="X20" s="21">
        <f t="shared" si="7"/>
        <v>8</v>
      </c>
      <c r="Y20" s="21">
        <v>1</v>
      </c>
      <c r="Z20" s="24">
        <f t="shared" si="4"/>
        <v>8</v>
      </c>
      <c r="AA20" s="25" t="str">
        <f t="shared" si="5"/>
        <v>Tolerable</v>
      </c>
      <c r="AB20" s="25" t="str">
        <f t="shared" si="6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32.25" customHeight="1" x14ac:dyDescent="0.3">
      <c r="A21" s="95"/>
      <c r="B21" s="95"/>
      <c r="C21" s="95"/>
      <c r="D21" s="95"/>
      <c r="E21" s="28"/>
      <c r="F21" s="28"/>
      <c r="G21" s="21" t="s">
        <v>168</v>
      </c>
      <c r="H21" s="21" t="s">
        <v>169</v>
      </c>
      <c r="I21" s="21">
        <v>1</v>
      </c>
      <c r="J21" s="21">
        <v>1</v>
      </c>
      <c r="K21" s="21">
        <v>1</v>
      </c>
      <c r="L21" s="21">
        <v>3</v>
      </c>
      <c r="M21" s="21">
        <f t="shared" si="0"/>
        <v>6</v>
      </c>
      <c r="N21" s="21">
        <v>3</v>
      </c>
      <c r="O21" s="24">
        <f t="shared" si="1"/>
        <v>18</v>
      </c>
      <c r="P21" s="25" t="str">
        <f t="shared" si="2"/>
        <v>Importante</v>
      </c>
      <c r="Q21" s="25" t="str">
        <f t="shared" si="3"/>
        <v>SÍ</v>
      </c>
      <c r="R21" s="26" t="s">
        <v>170</v>
      </c>
      <c r="S21" s="23" t="s">
        <v>171</v>
      </c>
      <c r="T21" s="21">
        <v>1</v>
      </c>
      <c r="U21" s="21">
        <v>1</v>
      </c>
      <c r="V21" s="21">
        <v>1</v>
      </c>
      <c r="W21" s="21">
        <v>3</v>
      </c>
      <c r="X21" s="21">
        <f t="shared" si="7"/>
        <v>6</v>
      </c>
      <c r="Y21" s="21">
        <v>2</v>
      </c>
      <c r="Z21" s="24">
        <f t="shared" si="4"/>
        <v>12</v>
      </c>
      <c r="AA21" s="40" t="s">
        <v>150</v>
      </c>
      <c r="AB21" s="25" t="s">
        <v>172</v>
      </c>
      <c r="AC21" s="26" t="s">
        <v>173</v>
      </c>
      <c r="AD21" s="27"/>
      <c r="AE21" s="27"/>
      <c r="AF21" s="27"/>
      <c r="AG21" s="27"/>
      <c r="AH21" s="27"/>
      <c r="AI21" s="27"/>
      <c r="AJ21" s="27"/>
    </row>
    <row r="22" spans="1:36" ht="42" customHeight="1" x14ac:dyDescent="0.3">
      <c r="A22" s="95"/>
      <c r="B22" s="95"/>
      <c r="C22" s="95"/>
      <c r="D22" s="95"/>
      <c r="E22" s="28" t="s">
        <v>27</v>
      </c>
      <c r="F22" s="28"/>
      <c r="G22" s="21" t="s">
        <v>153</v>
      </c>
      <c r="H22" s="21" t="s">
        <v>102</v>
      </c>
      <c r="I22" s="21">
        <v>1</v>
      </c>
      <c r="J22" s="21">
        <v>3</v>
      </c>
      <c r="K22" s="21">
        <v>1</v>
      </c>
      <c r="L22" s="21">
        <v>3</v>
      </c>
      <c r="M22" s="21">
        <f t="shared" si="0"/>
        <v>8</v>
      </c>
      <c r="N22" s="21">
        <v>1</v>
      </c>
      <c r="O22" s="24">
        <f t="shared" si="1"/>
        <v>8</v>
      </c>
      <c r="P22" s="25" t="str">
        <f t="shared" si="2"/>
        <v>Tolerable</v>
      </c>
      <c r="Q22" s="25" t="str">
        <f t="shared" si="3"/>
        <v>NO</v>
      </c>
      <c r="R22" s="26" t="s">
        <v>154</v>
      </c>
      <c r="S22" s="23" t="s">
        <v>49</v>
      </c>
      <c r="T22" s="21">
        <v>1</v>
      </c>
      <c r="U22" s="21">
        <v>1</v>
      </c>
      <c r="V22" s="21">
        <v>1</v>
      </c>
      <c r="W22" s="21">
        <v>3</v>
      </c>
      <c r="X22" s="21">
        <f t="shared" si="7"/>
        <v>6</v>
      </c>
      <c r="Y22" s="21">
        <v>1</v>
      </c>
      <c r="Z22" s="24">
        <f t="shared" si="4"/>
        <v>6</v>
      </c>
      <c r="AA22" s="25" t="str">
        <f t="shared" ref="AA22:AA35" si="8">IF(R22="No","It",IF(Z22&lt;=4,"Trivial",IF(Z22&lt;=8,"Tolerable",IF(Z22&lt;=16,"Moderado",IF(Z22&lt;=24,"Importante",IF(Z22&lt;=36,"No Aceptable"))))))</f>
        <v>Tolerable</v>
      </c>
      <c r="AB22" s="25" t="str">
        <f t="shared" ref="AB22:AB35" si="9">IF(AA22="Trivial","NO",IF(AA22="Tolerable","NO",IF(AA22="Moderado","NO",IF(AA22="Importante","SÍ",IF(AA22="No Aceptable","SÍ")))))</f>
        <v>NO</v>
      </c>
      <c r="AC22" s="26" t="s">
        <v>152</v>
      </c>
      <c r="AD22" s="27"/>
      <c r="AE22" s="27"/>
      <c r="AF22" s="27"/>
      <c r="AG22" s="27"/>
      <c r="AH22" s="27"/>
      <c r="AI22" s="27"/>
      <c r="AJ22" s="27"/>
    </row>
    <row r="23" spans="1:36" ht="67.5" customHeight="1" x14ac:dyDescent="0.3">
      <c r="A23" s="95"/>
      <c r="B23" s="95"/>
      <c r="C23" s="95"/>
      <c r="D23" s="95"/>
      <c r="E23" s="28" t="s">
        <v>27</v>
      </c>
      <c r="F23" s="28"/>
      <c r="G23" s="42" t="s">
        <v>155</v>
      </c>
      <c r="H23" s="42" t="s">
        <v>174</v>
      </c>
      <c r="I23" s="21">
        <v>1</v>
      </c>
      <c r="J23" s="21">
        <v>3</v>
      </c>
      <c r="K23" s="21">
        <v>1</v>
      </c>
      <c r="L23" s="21">
        <v>3</v>
      </c>
      <c r="M23" s="21">
        <f t="shared" si="0"/>
        <v>8</v>
      </c>
      <c r="N23" s="21">
        <v>1</v>
      </c>
      <c r="O23" s="24">
        <f t="shared" si="1"/>
        <v>8</v>
      </c>
      <c r="P23" s="25" t="str">
        <f t="shared" si="2"/>
        <v>Tolerable</v>
      </c>
      <c r="Q23" s="25" t="str">
        <f t="shared" si="3"/>
        <v>NO</v>
      </c>
      <c r="R23" s="30" t="s">
        <v>157</v>
      </c>
      <c r="S23" s="23" t="s">
        <v>49</v>
      </c>
      <c r="T23" s="21">
        <v>1</v>
      </c>
      <c r="U23" s="21">
        <v>1</v>
      </c>
      <c r="V23" s="21">
        <v>1</v>
      </c>
      <c r="W23" s="21">
        <v>3</v>
      </c>
      <c r="X23" s="21">
        <f t="shared" si="7"/>
        <v>6</v>
      </c>
      <c r="Y23" s="21">
        <v>1</v>
      </c>
      <c r="Z23" s="24">
        <f t="shared" si="4"/>
        <v>6</v>
      </c>
      <c r="AA23" s="25" t="str">
        <f t="shared" si="8"/>
        <v>Tolerable</v>
      </c>
      <c r="AB23" s="25" t="str">
        <f t="shared" si="9"/>
        <v>NO</v>
      </c>
      <c r="AC23" s="26" t="s">
        <v>111</v>
      </c>
      <c r="AD23" s="27"/>
      <c r="AE23" s="27"/>
      <c r="AF23" s="27"/>
      <c r="AG23" s="27"/>
      <c r="AH23" s="27"/>
      <c r="AI23" s="27"/>
      <c r="AJ23" s="27"/>
    </row>
    <row r="24" spans="1:36" ht="46.5" customHeight="1" x14ac:dyDescent="0.3">
      <c r="A24" s="95"/>
      <c r="B24" s="95"/>
      <c r="C24" s="95"/>
      <c r="D24" s="95"/>
      <c r="E24" s="28" t="s">
        <v>27</v>
      </c>
      <c r="F24" s="28"/>
      <c r="G24" s="21" t="s">
        <v>65</v>
      </c>
      <c r="H24" s="21" t="s">
        <v>66</v>
      </c>
      <c r="I24" s="21">
        <v>1</v>
      </c>
      <c r="J24" s="21">
        <v>1</v>
      </c>
      <c r="K24" s="21">
        <v>2</v>
      </c>
      <c r="L24" s="21">
        <v>3</v>
      </c>
      <c r="M24" s="21">
        <f t="shared" si="0"/>
        <v>7</v>
      </c>
      <c r="N24" s="21">
        <v>2</v>
      </c>
      <c r="O24" s="24">
        <f t="shared" si="1"/>
        <v>14</v>
      </c>
      <c r="P24" s="25" t="str">
        <f t="shared" si="2"/>
        <v>Moderado</v>
      </c>
      <c r="Q24" s="25" t="str">
        <f t="shared" si="3"/>
        <v>NO</v>
      </c>
      <c r="R24" s="26" t="s">
        <v>67</v>
      </c>
      <c r="S24" s="23" t="s">
        <v>175</v>
      </c>
      <c r="T24" s="21">
        <v>1</v>
      </c>
      <c r="U24" s="21">
        <v>1</v>
      </c>
      <c r="V24" s="21">
        <v>1</v>
      </c>
      <c r="W24" s="21">
        <v>3</v>
      </c>
      <c r="X24" s="21">
        <f t="shared" si="7"/>
        <v>6</v>
      </c>
      <c r="Y24" s="21">
        <v>2</v>
      </c>
      <c r="Z24" s="24">
        <f t="shared" si="4"/>
        <v>12</v>
      </c>
      <c r="AA24" s="25" t="str">
        <f t="shared" si="8"/>
        <v>Moderado</v>
      </c>
      <c r="AB24" s="25" t="str">
        <f t="shared" si="9"/>
        <v>NO</v>
      </c>
      <c r="AC24" s="26" t="s">
        <v>152</v>
      </c>
      <c r="AD24" s="27"/>
      <c r="AE24" s="27"/>
      <c r="AF24" s="27"/>
      <c r="AG24" s="27"/>
      <c r="AH24" s="27"/>
      <c r="AI24" s="27"/>
      <c r="AJ24" s="27"/>
    </row>
    <row r="25" spans="1:36" ht="36" customHeight="1" x14ac:dyDescent="0.3">
      <c r="A25" s="95"/>
      <c r="B25" s="95"/>
      <c r="C25" s="95"/>
      <c r="D25" s="95"/>
      <c r="E25" s="28" t="s">
        <v>27</v>
      </c>
      <c r="F25" s="28"/>
      <c r="G25" s="22" t="s">
        <v>159</v>
      </c>
      <c r="H25" s="22" t="s">
        <v>160</v>
      </c>
      <c r="I25" s="21">
        <v>1</v>
      </c>
      <c r="J25" s="21">
        <v>1</v>
      </c>
      <c r="K25" s="21">
        <v>1</v>
      </c>
      <c r="L25" s="21">
        <v>3</v>
      </c>
      <c r="M25" s="21">
        <f t="shared" si="0"/>
        <v>6</v>
      </c>
      <c r="N25" s="21">
        <v>1</v>
      </c>
      <c r="O25" s="24">
        <f t="shared" si="1"/>
        <v>6</v>
      </c>
      <c r="P25" s="25" t="str">
        <f t="shared" si="2"/>
        <v>Tolerable</v>
      </c>
      <c r="Q25" s="25" t="str">
        <f t="shared" si="3"/>
        <v>NO</v>
      </c>
      <c r="R25" s="30" t="s">
        <v>161</v>
      </c>
      <c r="S25" s="23" t="s">
        <v>49</v>
      </c>
      <c r="T25" s="21">
        <v>1</v>
      </c>
      <c r="U25" s="21">
        <v>1</v>
      </c>
      <c r="V25" s="21">
        <v>1</v>
      </c>
      <c r="W25" s="21">
        <v>3</v>
      </c>
      <c r="X25" s="21">
        <f t="shared" si="7"/>
        <v>6</v>
      </c>
      <c r="Y25" s="21">
        <v>1</v>
      </c>
      <c r="Z25" s="24">
        <f t="shared" si="4"/>
        <v>6</v>
      </c>
      <c r="AA25" s="25" t="str">
        <f t="shared" si="8"/>
        <v>Tolerable</v>
      </c>
      <c r="AB25" s="25" t="str">
        <f t="shared" si="9"/>
        <v>NO</v>
      </c>
      <c r="AC25" s="26" t="s">
        <v>32</v>
      </c>
      <c r="AD25" s="27"/>
      <c r="AE25" s="27"/>
      <c r="AF25" s="27"/>
      <c r="AG25" s="27"/>
      <c r="AH25" s="27"/>
      <c r="AI25" s="27"/>
      <c r="AJ25" s="27"/>
    </row>
    <row r="26" spans="1:36" ht="41.25" customHeight="1" x14ac:dyDescent="0.3">
      <c r="A26" s="95"/>
      <c r="B26" s="95"/>
      <c r="C26" s="95"/>
      <c r="D26" s="95"/>
      <c r="E26" s="28" t="s">
        <v>27</v>
      </c>
      <c r="F26" s="28"/>
      <c r="G26" s="23" t="s">
        <v>95</v>
      </c>
      <c r="H26" s="39" t="s">
        <v>162</v>
      </c>
      <c r="I26" s="23">
        <v>1</v>
      </c>
      <c r="J26" s="21">
        <v>2</v>
      </c>
      <c r="K26" s="21">
        <v>2</v>
      </c>
      <c r="L26" s="21">
        <v>3</v>
      </c>
      <c r="M26" s="21">
        <f t="shared" si="0"/>
        <v>8</v>
      </c>
      <c r="N26" s="23">
        <v>1</v>
      </c>
      <c r="O26" s="24">
        <f t="shared" si="1"/>
        <v>8</v>
      </c>
      <c r="P26" s="25" t="str">
        <f t="shared" si="2"/>
        <v>Tolerable</v>
      </c>
      <c r="Q26" s="25" t="str">
        <f t="shared" si="3"/>
        <v>NO</v>
      </c>
      <c r="R26" s="30" t="s">
        <v>97</v>
      </c>
      <c r="S26" s="22" t="s">
        <v>176</v>
      </c>
      <c r="T26" s="23">
        <v>1</v>
      </c>
      <c r="U26" s="21">
        <v>2</v>
      </c>
      <c r="V26" s="21">
        <v>2</v>
      </c>
      <c r="W26" s="21">
        <v>3</v>
      </c>
      <c r="X26" s="21">
        <f t="shared" si="7"/>
        <v>8</v>
      </c>
      <c r="Y26" s="23">
        <v>1</v>
      </c>
      <c r="Z26" s="24">
        <f t="shared" si="4"/>
        <v>8</v>
      </c>
      <c r="AA26" s="25" t="str">
        <f t="shared" si="8"/>
        <v>Tolerable</v>
      </c>
      <c r="AB26" s="25" t="str">
        <f t="shared" si="9"/>
        <v>NO</v>
      </c>
      <c r="AC26" s="26" t="s">
        <v>32</v>
      </c>
      <c r="AD26" s="27"/>
      <c r="AE26" s="27"/>
      <c r="AF26" s="27"/>
      <c r="AG26" s="27"/>
      <c r="AH26" s="27"/>
      <c r="AI26" s="27"/>
      <c r="AJ26" s="27"/>
    </row>
    <row r="27" spans="1:36" ht="41.25" customHeight="1" x14ac:dyDescent="0.3">
      <c r="A27" s="95"/>
      <c r="B27" s="95"/>
      <c r="C27" s="95"/>
      <c r="D27" s="95"/>
      <c r="E27" s="21"/>
      <c r="F27" s="20" t="s">
        <v>27</v>
      </c>
      <c r="G27" s="22" t="s">
        <v>60</v>
      </c>
      <c r="H27" s="22" t="s">
        <v>61</v>
      </c>
      <c r="I27" s="23">
        <v>1</v>
      </c>
      <c r="J27" s="23">
        <v>1</v>
      </c>
      <c r="K27" s="23">
        <v>1</v>
      </c>
      <c r="L27" s="23">
        <v>3</v>
      </c>
      <c r="M27" s="21">
        <f t="shared" si="0"/>
        <v>6</v>
      </c>
      <c r="N27" s="23">
        <v>3</v>
      </c>
      <c r="O27" s="24">
        <f t="shared" si="1"/>
        <v>18</v>
      </c>
      <c r="P27" s="25" t="str">
        <f t="shared" si="2"/>
        <v>Importante</v>
      </c>
      <c r="Q27" s="25" t="str">
        <f t="shared" si="3"/>
        <v>SÍ</v>
      </c>
      <c r="R27" s="26" t="s">
        <v>62</v>
      </c>
      <c r="S27" s="22" t="s">
        <v>63</v>
      </c>
      <c r="T27" s="23">
        <v>1</v>
      </c>
      <c r="U27" s="23">
        <v>1</v>
      </c>
      <c r="V27" s="23">
        <v>1</v>
      </c>
      <c r="W27" s="23">
        <v>3</v>
      </c>
      <c r="X27" s="21">
        <f t="shared" si="7"/>
        <v>6</v>
      </c>
      <c r="Y27" s="23">
        <v>2</v>
      </c>
      <c r="Z27" s="24">
        <f t="shared" si="4"/>
        <v>12</v>
      </c>
      <c r="AA27" s="25" t="str">
        <f t="shared" si="8"/>
        <v>Moderado</v>
      </c>
      <c r="AB27" s="25" t="str">
        <f t="shared" si="9"/>
        <v>NO</v>
      </c>
      <c r="AC27" s="30" t="s">
        <v>64</v>
      </c>
      <c r="AD27" s="27"/>
      <c r="AE27" s="27"/>
      <c r="AF27" s="27"/>
      <c r="AG27" s="27"/>
      <c r="AH27" s="27"/>
      <c r="AI27" s="27"/>
      <c r="AJ27" s="27"/>
    </row>
    <row r="28" spans="1:36" ht="40.5" customHeight="1" x14ac:dyDescent="0.3">
      <c r="A28" s="114"/>
      <c r="B28" s="96"/>
      <c r="C28" s="96"/>
      <c r="D28" s="96"/>
      <c r="E28" s="20" t="s">
        <v>27</v>
      </c>
      <c r="F28" s="20"/>
      <c r="G28" s="21" t="s">
        <v>28</v>
      </c>
      <c r="H28" s="22" t="s">
        <v>29</v>
      </c>
      <c r="I28" s="23">
        <v>1</v>
      </c>
      <c r="J28" s="21">
        <v>1</v>
      </c>
      <c r="K28" s="21">
        <v>1</v>
      </c>
      <c r="L28" s="21">
        <v>3</v>
      </c>
      <c r="M28" s="21">
        <f t="shared" si="0"/>
        <v>6</v>
      </c>
      <c r="N28" s="23">
        <v>1</v>
      </c>
      <c r="O28" s="24">
        <f t="shared" si="1"/>
        <v>6</v>
      </c>
      <c r="P28" s="25" t="str">
        <f t="shared" si="2"/>
        <v>Tolerable</v>
      </c>
      <c r="Q28" s="25" t="str">
        <f t="shared" si="3"/>
        <v>NO</v>
      </c>
      <c r="R28" s="30" t="s">
        <v>177</v>
      </c>
      <c r="S28" s="23" t="s">
        <v>49</v>
      </c>
      <c r="T28" s="23">
        <v>1</v>
      </c>
      <c r="U28" s="21">
        <v>1</v>
      </c>
      <c r="V28" s="21">
        <v>1</v>
      </c>
      <c r="W28" s="21">
        <v>3</v>
      </c>
      <c r="X28" s="21">
        <f t="shared" si="7"/>
        <v>6</v>
      </c>
      <c r="Y28" s="23">
        <v>1</v>
      </c>
      <c r="Z28" s="24">
        <f t="shared" si="4"/>
        <v>6</v>
      </c>
      <c r="AA28" s="25" t="str">
        <f t="shared" si="8"/>
        <v>Tolerable</v>
      </c>
      <c r="AB28" s="25" t="str">
        <f t="shared" si="9"/>
        <v>NO</v>
      </c>
      <c r="AC28" s="26" t="s">
        <v>32</v>
      </c>
      <c r="AD28" s="27"/>
      <c r="AE28" s="27"/>
      <c r="AF28" s="27"/>
      <c r="AG28" s="27"/>
      <c r="AH28" s="27"/>
      <c r="AI28" s="27"/>
      <c r="AJ28" s="27"/>
    </row>
    <row r="29" spans="1:36" ht="47.25" customHeight="1" x14ac:dyDescent="0.3">
      <c r="A29" s="115">
        <v>3</v>
      </c>
      <c r="B29" s="116" t="s">
        <v>178</v>
      </c>
      <c r="C29" s="115" t="s">
        <v>179</v>
      </c>
      <c r="D29" s="115" t="s">
        <v>180</v>
      </c>
      <c r="E29" s="20" t="s">
        <v>27</v>
      </c>
      <c r="F29" s="20"/>
      <c r="G29" s="21" t="s">
        <v>120</v>
      </c>
      <c r="H29" s="21" t="s">
        <v>121</v>
      </c>
      <c r="I29" s="21">
        <v>1</v>
      </c>
      <c r="J29" s="21">
        <v>2</v>
      </c>
      <c r="K29" s="21">
        <v>1</v>
      </c>
      <c r="L29" s="21">
        <v>3</v>
      </c>
      <c r="M29" s="21">
        <f t="shared" si="0"/>
        <v>7</v>
      </c>
      <c r="N29" s="23">
        <v>1</v>
      </c>
      <c r="O29" s="24">
        <f t="shared" si="1"/>
        <v>7</v>
      </c>
      <c r="P29" s="25" t="str">
        <f t="shared" si="2"/>
        <v>Tolerable</v>
      </c>
      <c r="Q29" s="25" t="str">
        <f t="shared" si="3"/>
        <v>NO</v>
      </c>
      <c r="R29" s="26" t="s">
        <v>149</v>
      </c>
      <c r="S29" s="23" t="s">
        <v>49</v>
      </c>
      <c r="T29" s="21">
        <v>1</v>
      </c>
      <c r="U29" s="21">
        <v>2</v>
      </c>
      <c r="V29" s="21">
        <v>2</v>
      </c>
      <c r="W29" s="21">
        <v>3</v>
      </c>
      <c r="X29" s="21">
        <f t="shared" si="7"/>
        <v>8</v>
      </c>
      <c r="Y29" s="23">
        <v>1</v>
      </c>
      <c r="Z29" s="24">
        <f t="shared" si="4"/>
        <v>8</v>
      </c>
      <c r="AA29" s="25" t="str">
        <f t="shared" si="8"/>
        <v>Tolerable</v>
      </c>
      <c r="AB29" s="25" t="str">
        <f t="shared" si="9"/>
        <v>NO</v>
      </c>
      <c r="AC29" s="26" t="s">
        <v>32</v>
      </c>
      <c r="AD29" s="27"/>
      <c r="AE29" s="27"/>
      <c r="AF29" s="27"/>
      <c r="AG29" s="27"/>
      <c r="AH29" s="27"/>
      <c r="AI29" s="27"/>
      <c r="AJ29" s="27"/>
    </row>
    <row r="30" spans="1:36" ht="36" customHeight="1" x14ac:dyDescent="0.3">
      <c r="A30" s="105"/>
      <c r="B30" s="117"/>
      <c r="C30" s="105"/>
      <c r="D30" s="105"/>
      <c r="E30" s="20" t="s">
        <v>27</v>
      </c>
      <c r="F30" s="20"/>
      <c r="G30" s="21" t="s">
        <v>153</v>
      </c>
      <c r="H30" s="21" t="s">
        <v>102</v>
      </c>
      <c r="I30" s="21">
        <v>1</v>
      </c>
      <c r="J30" s="21">
        <v>2</v>
      </c>
      <c r="K30" s="21">
        <v>2</v>
      </c>
      <c r="L30" s="21">
        <v>3</v>
      </c>
      <c r="M30" s="21">
        <f t="shared" si="0"/>
        <v>8</v>
      </c>
      <c r="N30" s="23">
        <v>1</v>
      </c>
      <c r="O30" s="24">
        <f t="shared" si="1"/>
        <v>8</v>
      </c>
      <c r="P30" s="25" t="str">
        <f t="shared" si="2"/>
        <v>Tolerable</v>
      </c>
      <c r="Q30" s="25" t="str">
        <f t="shared" si="3"/>
        <v>NO</v>
      </c>
      <c r="R30" s="26" t="s">
        <v>154</v>
      </c>
      <c r="S30" s="23" t="s">
        <v>49</v>
      </c>
      <c r="T30" s="21">
        <v>1</v>
      </c>
      <c r="U30" s="21">
        <v>2</v>
      </c>
      <c r="V30" s="21">
        <v>2</v>
      </c>
      <c r="W30" s="21">
        <v>3</v>
      </c>
      <c r="X30" s="21">
        <f t="shared" si="7"/>
        <v>8</v>
      </c>
      <c r="Y30" s="23">
        <v>1</v>
      </c>
      <c r="Z30" s="24">
        <f t="shared" si="4"/>
        <v>8</v>
      </c>
      <c r="AA30" s="25" t="str">
        <f t="shared" si="8"/>
        <v>Tolerable</v>
      </c>
      <c r="AB30" s="25" t="str">
        <f t="shared" si="9"/>
        <v>NO</v>
      </c>
      <c r="AC30" s="26" t="s">
        <v>32</v>
      </c>
      <c r="AD30" s="27"/>
      <c r="AE30" s="27"/>
      <c r="AF30" s="27"/>
      <c r="AG30" s="27"/>
      <c r="AH30" s="27"/>
      <c r="AI30" s="27"/>
      <c r="AJ30" s="27"/>
    </row>
    <row r="31" spans="1:36" ht="30" customHeight="1" x14ac:dyDescent="0.3">
      <c r="A31" s="105"/>
      <c r="B31" s="117"/>
      <c r="C31" s="105"/>
      <c r="D31" s="105"/>
      <c r="E31" s="28" t="s">
        <v>27</v>
      </c>
      <c r="F31" s="28"/>
      <c r="G31" s="21" t="s">
        <v>65</v>
      </c>
      <c r="H31" s="21" t="s">
        <v>66</v>
      </c>
      <c r="I31" s="21">
        <v>1</v>
      </c>
      <c r="J31" s="21">
        <v>1</v>
      </c>
      <c r="K31" s="21">
        <v>1</v>
      </c>
      <c r="L31" s="21">
        <v>3</v>
      </c>
      <c r="M31" s="21">
        <f t="shared" si="0"/>
        <v>6</v>
      </c>
      <c r="N31" s="21">
        <v>2</v>
      </c>
      <c r="O31" s="24">
        <f t="shared" si="1"/>
        <v>12</v>
      </c>
      <c r="P31" s="25" t="str">
        <f t="shared" si="2"/>
        <v>Moderado</v>
      </c>
      <c r="Q31" s="25" t="str">
        <f t="shared" si="3"/>
        <v>NO</v>
      </c>
      <c r="R31" s="26" t="s">
        <v>67</v>
      </c>
      <c r="S31" s="23" t="s">
        <v>175</v>
      </c>
      <c r="T31" s="21">
        <v>1</v>
      </c>
      <c r="U31" s="21">
        <v>1</v>
      </c>
      <c r="V31" s="21">
        <v>1</v>
      </c>
      <c r="W31" s="21">
        <v>3</v>
      </c>
      <c r="X31" s="21">
        <f t="shared" si="7"/>
        <v>6</v>
      </c>
      <c r="Y31" s="21">
        <v>2</v>
      </c>
      <c r="Z31" s="24">
        <f t="shared" si="4"/>
        <v>12</v>
      </c>
      <c r="AA31" s="25" t="str">
        <f t="shared" si="8"/>
        <v>Moderado</v>
      </c>
      <c r="AB31" s="25" t="str">
        <f t="shared" si="9"/>
        <v>NO</v>
      </c>
      <c r="AC31" s="26" t="s">
        <v>152</v>
      </c>
      <c r="AD31" s="27"/>
      <c r="AE31" s="27"/>
      <c r="AF31" s="27"/>
      <c r="AG31" s="27"/>
      <c r="AH31" s="27"/>
      <c r="AI31" s="27"/>
      <c r="AJ31" s="27"/>
    </row>
    <row r="32" spans="1:36" ht="61.5" customHeight="1" x14ac:dyDescent="0.3">
      <c r="A32" s="105"/>
      <c r="B32" s="117"/>
      <c r="C32" s="105"/>
      <c r="D32" s="105"/>
      <c r="E32" s="20" t="s">
        <v>27</v>
      </c>
      <c r="F32" s="20"/>
      <c r="G32" s="42" t="s">
        <v>155</v>
      </c>
      <c r="H32" s="42" t="s">
        <v>156</v>
      </c>
      <c r="I32" s="21">
        <v>1</v>
      </c>
      <c r="J32" s="21">
        <v>2</v>
      </c>
      <c r="K32" s="21">
        <v>2</v>
      </c>
      <c r="L32" s="21">
        <v>3</v>
      </c>
      <c r="M32" s="21">
        <f t="shared" si="0"/>
        <v>8</v>
      </c>
      <c r="N32" s="23">
        <v>1</v>
      </c>
      <c r="O32" s="24">
        <f t="shared" si="1"/>
        <v>8</v>
      </c>
      <c r="P32" s="25" t="str">
        <f t="shared" si="2"/>
        <v>Tolerable</v>
      </c>
      <c r="Q32" s="25" t="str">
        <f t="shared" si="3"/>
        <v>NO</v>
      </c>
      <c r="R32" s="37" t="s">
        <v>181</v>
      </c>
      <c r="S32" s="23" t="s">
        <v>49</v>
      </c>
      <c r="T32" s="21">
        <v>1</v>
      </c>
      <c r="U32" s="21">
        <v>2</v>
      </c>
      <c r="V32" s="21">
        <v>2</v>
      </c>
      <c r="W32" s="21">
        <v>3</v>
      </c>
      <c r="X32" s="21">
        <f t="shared" si="7"/>
        <v>8</v>
      </c>
      <c r="Y32" s="23">
        <v>1</v>
      </c>
      <c r="Z32" s="24">
        <f t="shared" si="4"/>
        <v>8</v>
      </c>
      <c r="AA32" s="25" t="str">
        <f t="shared" si="8"/>
        <v>Tolerable</v>
      </c>
      <c r="AB32" s="25" t="str">
        <f t="shared" si="9"/>
        <v>NO</v>
      </c>
      <c r="AC32" s="26" t="s">
        <v>111</v>
      </c>
      <c r="AD32" s="27"/>
      <c r="AE32" s="27"/>
      <c r="AF32" s="27"/>
      <c r="AG32" s="27"/>
      <c r="AH32" s="27"/>
      <c r="AI32" s="27"/>
      <c r="AJ32" s="27"/>
    </row>
    <row r="33" spans="1:36" ht="79.5" customHeight="1" x14ac:dyDescent="0.3">
      <c r="A33" s="105"/>
      <c r="B33" s="117"/>
      <c r="C33" s="105"/>
      <c r="D33" s="105"/>
      <c r="E33" s="20" t="s">
        <v>27</v>
      </c>
      <c r="F33" s="20"/>
      <c r="G33" s="23" t="s">
        <v>182</v>
      </c>
      <c r="H33" s="39" t="s">
        <v>162</v>
      </c>
      <c r="I33" s="23">
        <v>1</v>
      </c>
      <c r="J33" s="21">
        <v>2</v>
      </c>
      <c r="K33" s="21">
        <v>2</v>
      </c>
      <c r="L33" s="21">
        <v>3</v>
      </c>
      <c r="M33" s="21">
        <f t="shared" si="0"/>
        <v>8</v>
      </c>
      <c r="N33" s="23">
        <v>1</v>
      </c>
      <c r="O33" s="24">
        <f t="shared" si="1"/>
        <v>8</v>
      </c>
      <c r="P33" s="25" t="str">
        <f t="shared" si="2"/>
        <v>Tolerable</v>
      </c>
      <c r="Q33" s="25" t="str">
        <f t="shared" si="3"/>
        <v>NO</v>
      </c>
      <c r="R33" s="30" t="s">
        <v>97</v>
      </c>
      <c r="S33" s="22" t="s">
        <v>176</v>
      </c>
      <c r="T33" s="23">
        <v>1</v>
      </c>
      <c r="U33" s="21">
        <v>2</v>
      </c>
      <c r="V33" s="21">
        <v>2</v>
      </c>
      <c r="W33" s="21">
        <v>3</v>
      </c>
      <c r="X33" s="21">
        <f t="shared" si="7"/>
        <v>8</v>
      </c>
      <c r="Y33" s="23">
        <v>1</v>
      </c>
      <c r="Z33" s="24">
        <f t="shared" si="4"/>
        <v>8</v>
      </c>
      <c r="AA33" s="25" t="str">
        <f t="shared" si="8"/>
        <v>Tolerable</v>
      </c>
      <c r="AB33" s="25" t="str">
        <f t="shared" si="9"/>
        <v>NO</v>
      </c>
      <c r="AC33" s="26" t="s">
        <v>32</v>
      </c>
      <c r="AD33" s="27"/>
      <c r="AE33" s="27"/>
      <c r="AF33" s="27"/>
      <c r="AG33" s="27"/>
      <c r="AH33" s="27"/>
      <c r="AI33" s="27"/>
      <c r="AJ33" s="27"/>
    </row>
    <row r="34" spans="1:36" ht="79.5" customHeight="1" x14ac:dyDescent="0.3">
      <c r="A34" s="105"/>
      <c r="B34" s="117"/>
      <c r="C34" s="105"/>
      <c r="D34" s="105"/>
      <c r="E34" s="21"/>
      <c r="F34" s="20" t="s">
        <v>27</v>
      </c>
      <c r="G34" s="22" t="s">
        <v>60</v>
      </c>
      <c r="H34" s="22" t="s">
        <v>61</v>
      </c>
      <c r="I34" s="23">
        <v>1</v>
      </c>
      <c r="J34" s="23">
        <v>1</v>
      </c>
      <c r="K34" s="23">
        <v>1</v>
      </c>
      <c r="L34" s="23">
        <v>3</v>
      </c>
      <c r="M34" s="21">
        <f t="shared" si="0"/>
        <v>6</v>
      </c>
      <c r="N34" s="23">
        <v>3</v>
      </c>
      <c r="O34" s="24">
        <f t="shared" si="1"/>
        <v>18</v>
      </c>
      <c r="P34" s="25" t="str">
        <f t="shared" si="2"/>
        <v>Importante</v>
      </c>
      <c r="Q34" s="25" t="str">
        <f t="shared" si="3"/>
        <v>SÍ</v>
      </c>
      <c r="R34" s="26" t="s">
        <v>62</v>
      </c>
      <c r="S34" s="22" t="s">
        <v>63</v>
      </c>
      <c r="T34" s="23">
        <v>1</v>
      </c>
      <c r="U34" s="23">
        <v>1</v>
      </c>
      <c r="V34" s="23">
        <v>1</v>
      </c>
      <c r="W34" s="23">
        <v>3</v>
      </c>
      <c r="X34" s="21">
        <f t="shared" si="7"/>
        <v>6</v>
      </c>
      <c r="Y34" s="23">
        <v>2</v>
      </c>
      <c r="Z34" s="24">
        <f t="shared" si="4"/>
        <v>12</v>
      </c>
      <c r="AA34" s="25" t="str">
        <f t="shared" si="8"/>
        <v>Moderado</v>
      </c>
      <c r="AB34" s="25" t="str">
        <f t="shared" si="9"/>
        <v>NO</v>
      </c>
      <c r="AC34" s="30" t="s">
        <v>64</v>
      </c>
      <c r="AD34" s="27"/>
      <c r="AE34" s="27"/>
      <c r="AF34" s="27"/>
      <c r="AG34" s="27"/>
      <c r="AH34" s="27"/>
      <c r="AI34" s="27"/>
      <c r="AJ34" s="27"/>
    </row>
    <row r="35" spans="1:36" ht="76.5" customHeight="1" x14ac:dyDescent="0.3">
      <c r="A35" s="106"/>
      <c r="B35" s="118"/>
      <c r="C35" s="106"/>
      <c r="D35" s="106"/>
      <c r="E35" s="20" t="s">
        <v>27</v>
      </c>
      <c r="F35" s="20"/>
      <c r="G35" s="21" t="s">
        <v>28</v>
      </c>
      <c r="H35" s="22" t="s">
        <v>29</v>
      </c>
      <c r="I35" s="21">
        <v>1</v>
      </c>
      <c r="J35" s="21">
        <v>1</v>
      </c>
      <c r="K35" s="21">
        <v>1</v>
      </c>
      <c r="L35" s="21">
        <v>3</v>
      </c>
      <c r="M35" s="21">
        <f t="shared" si="0"/>
        <v>6</v>
      </c>
      <c r="N35" s="23">
        <v>1</v>
      </c>
      <c r="O35" s="24">
        <f t="shared" si="1"/>
        <v>6</v>
      </c>
      <c r="P35" s="25" t="str">
        <f t="shared" si="2"/>
        <v>Tolerable</v>
      </c>
      <c r="Q35" s="25" t="str">
        <f t="shared" si="3"/>
        <v>NO</v>
      </c>
      <c r="R35" s="26" t="s">
        <v>183</v>
      </c>
      <c r="S35" s="23" t="s">
        <v>49</v>
      </c>
      <c r="T35" s="21">
        <v>1</v>
      </c>
      <c r="U35" s="21">
        <v>1</v>
      </c>
      <c r="V35" s="21">
        <v>1</v>
      </c>
      <c r="W35" s="21">
        <v>3</v>
      </c>
      <c r="X35" s="21">
        <f t="shared" si="7"/>
        <v>6</v>
      </c>
      <c r="Y35" s="23">
        <v>1</v>
      </c>
      <c r="Z35" s="24">
        <f t="shared" si="4"/>
        <v>6</v>
      </c>
      <c r="AA35" s="25" t="str">
        <f t="shared" si="8"/>
        <v>Tolerable</v>
      </c>
      <c r="AB35" s="25" t="str">
        <f t="shared" si="9"/>
        <v>NO</v>
      </c>
      <c r="AC35" s="26" t="s">
        <v>32</v>
      </c>
      <c r="AD35" s="27"/>
      <c r="AE35" s="27"/>
      <c r="AF35" s="27"/>
      <c r="AG35" s="27"/>
      <c r="AH35" s="27"/>
      <c r="AI35" s="27"/>
      <c r="AJ35" s="27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2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2.75" customHeight="1" x14ac:dyDescent="0.3">
      <c r="A222" s="1"/>
      <c r="B222" s="1"/>
      <c r="C222" s="2"/>
      <c r="D222" s="3"/>
      <c r="E222" s="31"/>
      <c r="F222" s="31"/>
      <c r="G222" s="5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2.75" customHeight="1" x14ac:dyDescent="0.3">
      <c r="A223" s="1"/>
      <c r="B223" s="1"/>
      <c r="C223" s="2"/>
      <c r="D223" s="3"/>
      <c r="E223" s="31"/>
      <c r="F223" s="31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2.75" customHeight="1" x14ac:dyDescent="0.3">
      <c r="A224" s="1"/>
      <c r="B224" s="1"/>
      <c r="C224" s="2"/>
      <c r="D224" s="3"/>
      <c r="E224" s="31"/>
      <c r="F224" s="31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2.75" customHeight="1" x14ac:dyDescent="0.3">
      <c r="A225" s="1"/>
      <c r="B225" s="1"/>
      <c r="C225" s="2"/>
      <c r="D225" s="3"/>
      <c r="E225" s="31"/>
      <c r="F225" s="31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2.75" customHeight="1" x14ac:dyDescent="0.3">
      <c r="A226" s="1"/>
      <c r="B226" s="1"/>
      <c r="C226" s="2"/>
      <c r="D226" s="3"/>
      <c r="E226" s="31"/>
      <c r="F226" s="31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2.75" customHeight="1" x14ac:dyDescent="0.3">
      <c r="A227" s="1"/>
      <c r="B227" s="1"/>
      <c r="C227" s="2"/>
      <c r="D227" s="3"/>
      <c r="E227" s="31"/>
      <c r="F227" s="31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2.75" customHeight="1" x14ac:dyDescent="0.3">
      <c r="A228" s="1"/>
      <c r="B228" s="1"/>
      <c r="C228" s="2"/>
      <c r="D228" s="3"/>
      <c r="E228" s="31"/>
      <c r="F228" s="31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2.75" customHeight="1" x14ac:dyDescent="0.3">
      <c r="A229" s="1"/>
      <c r="B229" s="1"/>
      <c r="C229" s="2"/>
      <c r="D229" s="3"/>
      <c r="E229" s="31"/>
      <c r="F229" s="31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2.75" customHeight="1" x14ac:dyDescent="0.3">
      <c r="A230" s="1"/>
      <c r="B230" s="1"/>
      <c r="C230" s="2"/>
      <c r="D230" s="3"/>
      <c r="E230" s="31"/>
      <c r="F230" s="31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2.75" customHeight="1" x14ac:dyDescent="0.3">
      <c r="A231" s="1"/>
      <c r="B231" s="1"/>
      <c r="C231" s="2"/>
      <c r="D231" s="3"/>
      <c r="E231" s="31"/>
      <c r="F231" s="31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2.75" customHeight="1" x14ac:dyDescent="0.3">
      <c r="A232" s="1"/>
      <c r="B232" s="1"/>
      <c r="C232" s="2"/>
      <c r="D232" s="3"/>
      <c r="E232" s="31"/>
      <c r="F232" s="31"/>
      <c r="G232" s="5"/>
      <c r="H232" s="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ht="12.75" customHeight="1" x14ac:dyDescent="0.3">
      <c r="A233" s="1"/>
      <c r="B233" s="1"/>
      <c r="C233" s="2"/>
      <c r="D233" s="3"/>
      <c r="E233" s="31"/>
      <c r="F233" s="31"/>
      <c r="G233" s="5"/>
      <c r="H233" s="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ht="12.75" customHeight="1" x14ac:dyDescent="0.3">
      <c r="A234" s="1"/>
      <c r="B234" s="1"/>
      <c r="C234" s="2"/>
      <c r="D234" s="3"/>
      <c r="E234" s="31"/>
      <c r="F234" s="31"/>
      <c r="G234" s="5"/>
      <c r="H234" s="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ht="12.75" customHeight="1" x14ac:dyDescent="0.3">
      <c r="A235" s="1"/>
      <c r="B235" s="1"/>
      <c r="C235" s="2"/>
      <c r="D235" s="3"/>
      <c r="E235" s="31"/>
      <c r="F235" s="31"/>
      <c r="G235" s="5"/>
      <c r="H235" s="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6">
    <mergeCell ref="C12:C19"/>
    <mergeCell ref="A20:A28"/>
    <mergeCell ref="B20:B28"/>
    <mergeCell ref="C20:C28"/>
    <mergeCell ref="D20:D28"/>
    <mergeCell ref="A29:A35"/>
    <mergeCell ref="B29:B35"/>
    <mergeCell ref="C29:C35"/>
    <mergeCell ref="D29:D35"/>
    <mergeCell ref="S10:S11"/>
    <mergeCell ref="A8:A11"/>
    <mergeCell ref="B8:B11"/>
    <mergeCell ref="C8:C11"/>
    <mergeCell ref="D8:D11"/>
    <mergeCell ref="E8:F10"/>
    <mergeCell ref="G8:G11"/>
    <mergeCell ref="H8:H11"/>
    <mergeCell ref="I8:Q8"/>
    <mergeCell ref="A12:A19"/>
    <mergeCell ref="B12:B19"/>
    <mergeCell ref="D12:D19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</mergeCells>
  <conditionalFormatting sqref="P1:P16 P20:P25 P29:P32 P35:P1003 AA7 AA10:AA16 AA20:AA25 AA29:AA32 AA35">
    <cfRule type="cellIs" dxfId="123" priority="1" operator="equal">
      <formula>"No Aceptable"</formula>
    </cfRule>
  </conditionalFormatting>
  <conditionalFormatting sqref="P1:P16 P20:P25 P29:P32 P35:P1003 AA7 AA10:AA16 AA20:AA25 AA29:AA32 AA35">
    <cfRule type="cellIs" dxfId="122" priority="2" operator="equal">
      <formula>"Importante"</formula>
    </cfRule>
  </conditionalFormatting>
  <conditionalFormatting sqref="P1:P16 P20:P25 P29:P32 P35:P1003 AA7 AA10:AA16 AA20:AA25 AA29:AA32 AA35">
    <cfRule type="cellIs" dxfId="121" priority="3" operator="equal">
      <formula>"Moderado"</formula>
    </cfRule>
  </conditionalFormatting>
  <conditionalFormatting sqref="P1:P16 P20:P25 P29:P32 P35:P1003 AA7 AA10:AA16 AA20:AA25 AA29:AA32 AA35">
    <cfRule type="cellIs" dxfId="120" priority="4" operator="equal">
      <formula>"Tolerable"</formula>
    </cfRule>
  </conditionalFormatting>
  <conditionalFormatting sqref="P1:P16 P20:P25 P29:P32 P35:P1003 AA7 AA10:AA16 AA20:AA25 AA29:AA32 AA35">
    <cfRule type="cellIs" dxfId="119" priority="5" operator="equal">
      <formula>"Trivial"</formula>
    </cfRule>
  </conditionalFormatting>
  <conditionalFormatting sqref="G12:G14 G16 G20:G22 G24:G25 G29:G31">
    <cfRule type="expression" dxfId="118" priority="6">
      <formula>P12="No Aceptable"</formula>
    </cfRule>
  </conditionalFormatting>
  <conditionalFormatting sqref="P17 AA17">
    <cfRule type="cellIs" dxfId="117" priority="7" operator="equal">
      <formula>"No Aceptable"</formula>
    </cfRule>
  </conditionalFormatting>
  <conditionalFormatting sqref="P17 AA17">
    <cfRule type="cellIs" dxfId="116" priority="8" operator="equal">
      <formula>"Importante"</formula>
    </cfRule>
  </conditionalFormatting>
  <conditionalFormatting sqref="P17 AA17">
    <cfRule type="cellIs" dxfId="115" priority="9" operator="equal">
      <formula>"Moderado"</formula>
    </cfRule>
  </conditionalFormatting>
  <conditionalFormatting sqref="P17 AA17">
    <cfRule type="cellIs" dxfId="114" priority="10" operator="equal">
      <formula>"Tolerable"</formula>
    </cfRule>
  </conditionalFormatting>
  <conditionalFormatting sqref="P17 AA17">
    <cfRule type="cellIs" dxfId="113" priority="11" operator="equal">
      <formula>"Trivial"</formula>
    </cfRule>
  </conditionalFormatting>
  <conditionalFormatting sqref="G17">
    <cfRule type="expression" dxfId="112" priority="12">
      <formula>P17="No Aceptable"</formula>
    </cfRule>
  </conditionalFormatting>
  <conditionalFormatting sqref="P26:P27 AA26:AA27">
    <cfRule type="cellIs" dxfId="111" priority="13" operator="equal">
      <formula>"No Aceptable"</formula>
    </cfRule>
  </conditionalFormatting>
  <conditionalFormatting sqref="P26:P27 AA26:AA27">
    <cfRule type="cellIs" dxfId="110" priority="14" operator="equal">
      <formula>"Importante"</formula>
    </cfRule>
  </conditionalFormatting>
  <conditionalFormatting sqref="P26:P27 AA26:AA27">
    <cfRule type="cellIs" dxfId="109" priority="15" operator="equal">
      <formula>"Moderado"</formula>
    </cfRule>
  </conditionalFormatting>
  <conditionalFormatting sqref="P26:P27 AA26:AA27">
    <cfRule type="cellIs" dxfId="108" priority="16" operator="equal">
      <formula>"Tolerable"</formula>
    </cfRule>
  </conditionalFormatting>
  <conditionalFormatting sqref="P26:P27 AA26:AA27">
    <cfRule type="cellIs" dxfId="107" priority="17" operator="equal">
      <formula>"Trivial"</formula>
    </cfRule>
  </conditionalFormatting>
  <conditionalFormatting sqref="G26:G27">
    <cfRule type="expression" dxfId="106" priority="18">
      <formula>P26="No Aceptable"</formula>
    </cfRule>
  </conditionalFormatting>
  <conditionalFormatting sqref="P33:P34 AA33:AA34">
    <cfRule type="cellIs" dxfId="105" priority="19" operator="equal">
      <formula>"No Aceptable"</formula>
    </cfRule>
  </conditionalFormatting>
  <conditionalFormatting sqref="P33:P34 AA33:AA34">
    <cfRule type="cellIs" dxfId="104" priority="20" operator="equal">
      <formula>"Importante"</formula>
    </cfRule>
  </conditionalFormatting>
  <conditionalFormatting sqref="P33:P34 AA33:AA34">
    <cfRule type="cellIs" dxfId="103" priority="21" operator="equal">
      <formula>"Moderado"</formula>
    </cfRule>
  </conditionalFormatting>
  <conditionalFormatting sqref="P33:P34 AA33:AA34">
    <cfRule type="cellIs" dxfId="102" priority="22" operator="equal">
      <formula>"Tolerable"</formula>
    </cfRule>
  </conditionalFormatting>
  <conditionalFormatting sqref="P33:P34 AA33:AA34">
    <cfRule type="cellIs" dxfId="101" priority="23" operator="equal">
      <formula>"Trivial"</formula>
    </cfRule>
  </conditionalFormatting>
  <conditionalFormatting sqref="G33:G34">
    <cfRule type="expression" dxfId="100" priority="24">
      <formula>P33="No Aceptable"</formula>
    </cfRule>
  </conditionalFormatting>
  <conditionalFormatting sqref="G35">
    <cfRule type="expression" dxfId="99" priority="25">
      <formula>P35="No Aceptable"</formula>
    </cfRule>
  </conditionalFormatting>
  <conditionalFormatting sqref="P18:P19 AA18:AA19">
    <cfRule type="cellIs" dxfId="98" priority="26" operator="equal">
      <formula>"No Aceptable"</formula>
    </cfRule>
  </conditionalFormatting>
  <conditionalFormatting sqref="P18:P19 AA18:AA19">
    <cfRule type="cellIs" dxfId="97" priority="27" operator="equal">
      <formula>"Importante"</formula>
    </cfRule>
  </conditionalFormatting>
  <conditionalFormatting sqref="P18:P19 AA18:AA19">
    <cfRule type="cellIs" dxfId="96" priority="28" operator="equal">
      <formula>"Moderado"</formula>
    </cfRule>
  </conditionalFormatting>
  <conditionalFormatting sqref="P18:P19 AA18:AA19">
    <cfRule type="cellIs" dxfId="95" priority="29" operator="equal">
      <formula>"Tolerable"</formula>
    </cfRule>
  </conditionalFormatting>
  <conditionalFormatting sqref="P18:P19 AA18:AA19">
    <cfRule type="cellIs" dxfId="94" priority="30" operator="equal">
      <formula>"Trivial"</formula>
    </cfRule>
  </conditionalFormatting>
  <conditionalFormatting sqref="G18:G19">
    <cfRule type="expression" dxfId="93" priority="31">
      <formula>P18="No Aceptable"</formula>
    </cfRule>
  </conditionalFormatting>
  <conditionalFormatting sqref="P28 AA28">
    <cfRule type="cellIs" dxfId="92" priority="32" operator="equal">
      <formula>"No Aceptable"</formula>
    </cfRule>
  </conditionalFormatting>
  <conditionalFormatting sqref="P28 AA28">
    <cfRule type="cellIs" dxfId="91" priority="33" operator="equal">
      <formula>"Importante"</formula>
    </cfRule>
  </conditionalFormatting>
  <conditionalFormatting sqref="P28 AA28">
    <cfRule type="cellIs" dxfId="90" priority="34" operator="equal">
      <formula>"Moderado"</formula>
    </cfRule>
  </conditionalFormatting>
  <conditionalFormatting sqref="P28 AA28">
    <cfRule type="cellIs" dxfId="89" priority="35" operator="equal">
      <formula>"Tolerable"</formula>
    </cfRule>
  </conditionalFormatting>
  <conditionalFormatting sqref="P28 AA28">
    <cfRule type="cellIs" dxfId="88" priority="36" operator="equal">
      <formula>"Trivial"</formula>
    </cfRule>
  </conditionalFormatting>
  <conditionalFormatting sqref="G28">
    <cfRule type="expression" dxfId="87" priority="37">
      <formula>P28="No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1"/>
  <sheetViews>
    <sheetView showGridLines="0" zoomScale="60" zoomScaleNormal="60" workbookViewId="0">
      <pane ySplit="11" topLeftCell="A12" activePane="bottomLeft" state="frozen"/>
      <selection pane="bottomLeft" activeCell="H13" sqref="H13"/>
    </sheetView>
  </sheetViews>
  <sheetFormatPr baseColWidth="10" defaultColWidth="14.44140625" defaultRowHeight="15" customHeight="1" x14ac:dyDescent="0.3"/>
  <cols>
    <col min="1" max="1" width="5.44140625" customWidth="1"/>
    <col min="2" max="2" width="20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76" t="s">
        <v>0</v>
      </c>
      <c r="B8" s="76" t="s">
        <v>1</v>
      </c>
      <c r="C8" s="76" t="s">
        <v>2</v>
      </c>
      <c r="D8" s="76" t="s">
        <v>3</v>
      </c>
      <c r="E8" s="80" t="s">
        <v>4</v>
      </c>
      <c r="F8" s="119"/>
      <c r="G8" s="76" t="s">
        <v>184</v>
      </c>
      <c r="H8" s="93" t="s">
        <v>6</v>
      </c>
      <c r="I8" s="86" t="s">
        <v>7</v>
      </c>
      <c r="J8" s="112"/>
      <c r="K8" s="112"/>
      <c r="L8" s="112"/>
      <c r="M8" s="112"/>
      <c r="N8" s="112"/>
      <c r="O8" s="112"/>
      <c r="P8" s="112"/>
      <c r="Q8" s="113"/>
      <c r="R8" s="14"/>
      <c r="S8" s="14"/>
      <c r="T8" s="86"/>
      <c r="U8" s="112"/>
      <c r="V8" s="112"/>
      <c r="W8" s="112"/>
      <c r="X8" s="112"/>
      <c r="Y8" s="112"/>
      <c r="Z8" s="112"/>
      <c r="AA8" s="112"/>
      <c r="AB8" s="113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95"/>
      <c r="B9" s="95"/>
      <c r="C9" s="95"/>
      <c r="D9" s="95"/>
      <c r="E9" s="120"/>
      <c r="F9" s="121"/>
      <c r="G9" s="95"/>
      <c r="H9" s="95"/>
      <c r="I9" s="86" t="s">
        <v>7</v>
      </c>
      <c r="J9" s="112"/>
      <c r="K9" s="112"/>
      <c r="L9" s="112"/>
      <c r="M9" s="112"/>
      <c r="N9" s="112"/>
      <c r="O9" s="112"/>
      <c r="P9" s="112"/>
      <c r="Q9" s="113"/>
      <c r="R9" s="16"/>
      <c r="S9" s="16"/>
      <c r="T9" s="86" t="s">
        <v>8</v>
      </c>
      <c r="U9" s="112"/>
      <c r="V9" s="112"/>
      <c r="W9" s="112"/>
      <c r="X9" s="112"/>
      <c r="Y9" s="112"/>
      <c r="Z9" s="112"/>
      <c r="AA9" s="112"/>
      <c r="AB9" s="113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95"/>
      <c r="B10" s="95"/>
      <c r="C10" s="95"/>
      <c r="D10" s="95"/>
      <c r="E10" s="122"/>
      <c r="F10" s="123"/>
      <c r="G10" s="95"/>
      <c r="H10" s="95"/>
      <c r="I10" s="89" t="s">
        <v>9</v>
      </c>
      <c r="J10" s="112"/>
      <c r="K10" s="112"/>
      <c r="L10" s="113"/>
      <c r="M10" s="90" t="s">
        <v>10</v>
      </c>
      <c r="N10" s="90" t="s">
        <v>11</v>
      </c>
      <c r="O10" s="90" t="s">
        <v>12</v>
      </c>
      <c r="P10" s="90" t="s">
        <v>13</v>
      </c>
      <c r="Q10" s="90" t="s">
        <v>14</v>
      </c>
      <c r="R10" s="16" t="s">
        <v>15</v>
      </c>
      <c r="S10" s="92" t="s">
        <v>16</v>
      </c>
      <c r="T10" s="89" t="s">
        <v>9</v>
      </c>
      <c r="U10" s="112"/>
      <c r="V10" s="112"/>
      <c r="W10" s="113"/>
      <c r="X10" s="90" t="s">
        <v>10</v>
      </c>
      <c r="Y10" s="90" t="s">
        <v>11</v>
      </c>
      <c r="Z10" s="90" t="s">
        <v>12</v>
      </c>
      <c r="AA10" s="90" t="s">
        <v>13</v>
      </c>
      <c r="AB10" s="90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87.75" customHeight="1" x14ac:dyDescent="0.3">
      <c r="A11" s="114"/>
      <c r="B11" s="96"/>
      <c r="C11" s="114"/>
      <c r="D11" s="114"/>
      <c r="E11" s="17" t="s">
        <v>18</v>
      </c>
      <c r="F11" s="18" t="s">
        <v>19</v>
      </c>
      <c r="G11" s="96"/>
      <c r="H11" s="96"/>
      <c r="I11" s="19" t="s">
        <v>20</v>
      </c>
      <c r="J11" s="19" t="s">
        <v>21</v>
      </c>
      <c r="K11" s="19" t="s">
        <v>22</v>
      </c>
      <c r="L11" s="19" t="s">
        <v>23</v>
      </c>
      <c r="M11" s="114"/>
      <c r="N11" s="114"/>
      <c r="O11" s="114"/>
      <c r="P11" s="114"/>
      <c r="Q11" s="114"/>
      <c r="R11" s="16"/>
      <c r="S11" s="114"/>
      <c r="T11" s="19" t="s">
        <v>20</v>
      </c>
      <c r="U11" s="19" t="s">
        <v>21</v>
      </c>
      <c r="V11" s="19" t="s">
        <v>22</v>
      </c>
      <c r="W11" s="19" t="s">
        <v>23</v>
      </c>
      <c r="X11" s="114"/>
      <c r="Y11" s="114"/>
      <c r="Z11" s="114"/>
      <c r="AA11" s="114"/>
      <c r="AB11" s="114"/>
      <c r="AC11" s="16"/>
      <c r="AD11" s="15"/>
      <c r="AE11" s="15"/>
      <c r="AF11" s="15"/>
      <c r="AG11" s="15"/>
      <c r="AH11" s="15"/>
      <c r="AI11" s="15"/>
      <c r="AJ11" s="15"/>
    </row>
    <row r="12" spans="1:36" ht="56.25" customHeight="1" x14ac:dyDescent="0.3">
      <c r="A12" s="94">
        <v>4</v>
      </c>
      <c r="B12" s="94" t="s">
        <v>185</v>
      </c>
      <c r="C12" s="94" t="s">
        <v>186</v>
      </c>
      <c r="D12" s="94" t="s">
        <v>187</v>
      </c>
      <c r="E12" s="20"/>
      <c r="F12" s="28" t="s">
        <v>27</v>
      </c>
      <c r="G12" s="21" t="s">
        <v>42</v>
      </c>
      <c r="H12" s="21" t="s">
        <v>43</v>
      </c>
      <c r="I12" s="21">
        <v>1</v>
      </c>
      <c r="J12" s="21">
        <v>2</v>
      </c>
      <c r="K12" s="21">
        <v>2</v>
      </c>
      <c r="L12" s="21">
        <v>3</v>
      </c>
      <c r="M12" s="21">
        <f t="shared" ref="M12:M21" si="0">I12+J12+K12+L12</f>
        <v>8</v>
      </c>
      <c r="N12" s="21">
        <v>2</v>
      </c>
      <c r="O12" s="24">
        <f t="shared" ref="O12:O21" si="1">M12*N12</f>
        <v>16</v>
      </c>
      <c r="P12" s="25" t="str">
        <f t="shared" ref="P12:P13" si="2">IF(G12="No","It",IF(O12&lt;=4,"Trivial",IF(O12&lt;=8,"Tolerable",IF(O12&lt;=16,"Moderado",IF(O12&lt;=24,"Importante",IF(O12&lt;=36,"No Aceptable"))))))</f>
        <v>Moderado</v>
      </c>
      <c r="Q12" s="25" t="str">
        <f t="shared" ref="Q12:Q13" si="3">IF(P12="Trivial","NO",IF(P12="Tolerable","NO",IF(P12="Moderado","NO",IF(P12="Importante","SÍ",IF(P12="No Aceptable","SÍ")))))</f>
        <v>NO</v>
      </c>
      <c r="R12" s="26" t="s">
        <v>44</v>
      </c>
      <c r="S12" s="22" t="s">
        <v>49</v>
      </c>
      <c r="T12" s="21">
        <v>1</v>
      </c>
      <c r="U12" s="21">
        <v>1</v>
      </c>
      <c r="V12" s="21">
        <v>1</v>
      </c>
      <c r="W12" s="21">
        <v>3</v>
      </c>
      <c r="X12" s="21">
        <f t="shared" ref="X12:X21" si="4">T12+U12+V12+W12</f>
        <v>6</v>
      </c>
      <c r="Y12" s="21">
        <v>1</v>
      </c>
      <c r="Z12" s="24">
        <f t="shared" ref="Z12:Z21" si="5">X12*Y12</f>
        <v>6</v>
      </c>
      <c r="AA12" s="25" t="str">
        <f t="shared" ref="AA12:AA13" si="6">IF(R12="No","It",IF(Z12&lt;=4,"Trivial",IF(Z12&lt;=8,"Tolerable",IF(Z12&lt;=16,"Moderado",IF(Z12&lt;=24,"Importante",IF(Z12&lt;=36,"No Aceptable"))))))</f>
        <v>Tolerable</v>
      </c>
      <c r="AB12" s="25" t="str">
        <f t="shared" ref="AB12:AB13" si="7"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30" customHeight="1" x14ac:dyDescent="0.3">
      <c r="A13" s="95"/>
      <c r="B13" s="95"/>
      <c r="C13" s="95"/>
      <c r="D13" s="95"/>
      <c r="E13" s="28"/>
      <c r="F13" s="28" t="s">
        <v>27</v>
      </c>
      <c r="G13" s="21" t="s">
        <v>65</v>
      </c>
      <c r="H13" s="21" t="s">
        <v>66</v>
      </c>
      <c r="I13" s="21">
        <v>1</v>
      </c>
      <c r="J13" s="21">
        <v>1</v>
      </c>
      <c r="K13" s="21">
        <v>2</v>
      </c>
      <c r="L13" s="21">
        <v>3</v>
      </c>
      <c r="M13" s="21">
        <f t="shared" si="0"/>
        <v>7</v>
      </c>
      <c r="N13" s="21">
        <v>2</v>
      </c>
      <c r="O13" s="24">
        <f t="shared" si="1"/>
        <v>14</v>
      </c>
      <c r="P13" s="25" t="str">
        <f t="shared" si="2"/>
        <v>Moderado</v>
      </c>
      <c r="Q13" s="25" t="str">
        <f t="shared" si="3"/>
        <v>NO</v>
      </c>
      <c r="R13" s="26" t="s">
        <v>67</v>
      </c>
      <c r="S13" s="22" t="s">
        <v>175</v>
      </c>
      <c r="T13" s="21">
        <v>1</v>
      </c>
      <c r="U13" s="21">
        <v>1</v>
      </c>
      <c r="V13" s="21">
        <v>1</v>
      </c>
      <c r="W13" s="21">
        <v>3</v>
      </c>
      <c r="X13" s="21">
        <f t="shared" si="4"/>
        <v>6</v>
      </c>
      <c r="Y13" s="21">
        <v>2</v>
      </c>
      <c r="Z13" s="24">
        <f t="shared" si="5"/>
        <v>12</v>
      </c>
      <c r="AA13" s="25" t="str">
        <f t="shared" si="6"/>
        <v>Moderado</v>
      </c>
      <c r="AB13" s="25" t="str">
        <f t="shared" si="7"/>
        <v>NO</v>
      </c>
      <c r="AC13" s="26" t="s">
        <v>152</v>
      </c>
      <c r="AD13" s="27"/>
      <c r="AE13" s="27"/>
      <c r="AF13" s="27"/>
      <c r="AG13" s="27"/>
      <c r="AH13" s="27"/>
      <c r="AI13" s="27"/>
      <c r="AJ13" s="27"/>
    </row>
    <row r="14" spans="1:36" ht="37.5" customHeight="1" x14ac:dyDescent="0.3">
      <c r="A14" s="95"/>
      <c r="B14" s="95"/>
      <c r="C14" s="95"/>
      <c r="D14" s="95"/>
      <c r="E14" s="20"/>
      <c r="F14" s="28" t="s">
        <v>27</v>
      </c>
      <c r="G14" s="21" t="s">
        <v>188</v>
      </c>
      <c r="H14" s="21" t="s">
        <v>189</v>
      </c>
      <c r="I14" s="21">
        <v>1</v>
      </c>
      <c r="J14" s="21">
        <v>1</v>
      </c>
      <c r="K14" s="21">
        <v>1</v>
      </c>
      <c r="L14" s="21">
        <v>2</v>
      </c>
      <c r="M14" s="21">
        <f t="shared" si="0"/>
        <v>5</v>
      </c>
      <c r="N14" s="21">
        <v>2</v>
      </c>
      <c r="O14" s="24">
        <f t="shared" si="1"/>
        <v>10</v>
      </c>
      <c r="P14" s="40" t="s">
        <v>150</v>
      </c>
      <c r="Q14" s="25" t="s">
        <v>143</v>
      </c>
      <c r="R14" s="26" t="s">
        <v>190</v>
      </c>
      <c r="S14" s="22" t="s">
        <v>191</v>
      </c>
      <c r="T14" s="21">
        <v>1</v>
      </c>
      <c r="U14" s="21">
        <v>1</v>
      </c>
      <c r="V14" s="21">
        <v>1</v>
      </c>
      <c r="W14" s="21">
        <v>2</v>
      </c>
      <c r="X14" s="21">
        <f t="shared" si="4"/>
        <v>5</v>
      </c>
      <c r="Y14" s="21">
        <v>1</v>
      </c>
      <c r="Z14" s="24">
        <f t="shared" si="5"/>
        <v>5</v>
      </c>
      <c r="AA14" s="44" t="s">
        <v>151</v>
      </c>
      <c r="AB14" s="25" t="s">
        <v>143</v>
      </c>
      <c r="AC14" s="26" t="s">
        <v>192</v>
      </c>
      <c r="AD14" s="27"/>
      <c r="AE14" s="27"/>
      <c r="AF14" s="27"/>
      <c r="AG14" s="27"/>
      <c r="AH14" s="27"/>
      <c r="AI14" s="27"/>
      <c r="AJ14" s="27"/>
    </row>
    <row r="15" spans="1:36" ht="39" customHeight="1" x14ac:dyDescent="0.3">
      <c r="A15" s="95"/>
      <c r="B15" s="95"/>
      <c r="C15" s="95"/>
      <c r="D15" s="95"/>
      <c r="E15" s="20" t="s">
        <v>27</v>
      </c>
      <c r="F15" s="20"/>
      <c r="G15" s="21" t="s">
        <v>38</v>
      </c>
      <c r="H15" s="21" t="s">
        <v>193</v>
      </c>
      <c r="I15" s="21">
        <v>1</v>
      </c>
      <c r="J15" s="21">
        <v>1</v>
      </c>
      <c r="K15" s="21">
        <v>1</v>
      </c>
      <c r="L15" s="21">
        <v>3</v>
      </c>
      <c r="M15" s="21">
        <f t="shared" si="0"/>
        <v>6</v>
      </c>
      <c r="N15" s="22">
        <v>2</v>
      </c>
      <c r="O15" s="24">
        <f t="shared" si="1"/>
        <v>12</v>
      </c>
      <c r="P15" s="25" t="str">
        <f t="shared" ref="P15:P21" si="8">IF(G15="No","It",IF(O15&lt;=4,"Trivial",IF(O15&lt;=8,"Tolerable",IF(O15&lt;=16,"Moderado",IF(O15&lt;=24,"Importante",IF(O15&lt;=36,"No Aceptable"))))))</f>
        <v>Moderado</v>
      </c>
      <c r="Q15" s="25" t="str">
        <f t="shared" ref="Q15:Q21" si="9">IF(P15="Trivial","NO",IF(P15="Tolerable","NO",IF(P15="Moderado","NO",IF(P15="Importante","SÍ",IF(P15="No Aceptable","SÍ")))))</f>
        <v>NO</v>
      </c>
      <c r="R15" s="26" t="s">
        <v>194</v>
      </c>
      <c r="S15" s="22" t="s">
        <v>138</v>
      </c>
      <c r="T15" s="21">
        <v>1</v>
      </c>
      <c r="U15" s="21">
        <v>1</v>
      </c>
      <c r="V15" s="21">
        <v>1</v>
      </c>
      <c r="W15" s="21">
        <v>3</v>
      </c>
      <c r="X15" s="21">
        <f t="shared" si="4"/>
        <v>6</v>
      </c>
      <c r="Y15" s="22">
        <v>1</v>
      </c>
      <c r="Z15" s="24">
        <f t="shared" si="5"/>
        <v>6</v>
      </c>
      <c r="AA15" s="25" t="str">
        <f t="shared" ref="AA15:AA21" si="10">IF(R15="No","It",IF(Z15&lt;=4,"Trivial",IF(Z15&lt;=8,"Tolerable",IF(Z15&lt;=16,"Moderado",IF(Z15&lt;=24,"Importante",IF(Z15&lt;=36,"No Aceptable"))))))</f>
        <v>Tolerable</v>
      </c>
      <c r="AB15" s="25" t="str">
        <f t="shared" ref="AB15:AB21" si="11">IF(AA15="Trivial","NO",IF(AA15="Tolerable","NO",IF(AA15="Moderado","NO",IF(AA15="Importante","SÍ",IF(AA15="No Aceptable","SÍ")))))</f>
        <v>NO</v>
      </c>
      <c r="AC15" s="26" t="s">
        <v>111</v>
      </c>
      <c r="AD15" s="27"/>
      <c r="AE15" s="27"/>
      <c r="AF15" s="27"/>
      <c r="AG15" s="27"/>
      <c r="AH15" s="27"/>
      <c r="AI15" s="27"/>
      <c r="AJ15" s="27"/>
    </row>
    <row r="16" spans="1:36" ht="63" customHeight="1" x14ac:dyDescent="0.3">
      <c r="A16" s="95"/>
      <c r="B16" s="95"/>
      <c r="C16" s="95"/>
      <c r="D16" s="95"/>
      <c r="E16" s="20" t="s">
        <v>27</v>
      </c>
      <c r="F16" s="20"/>
      <c r="G16" s="22" t="s">
        <v>33</v>
      </c>
      <c r="H16" s="22" t="s">
        <v>117</v>
      </c>
      <c r="I16" s="22">
        <v>1</v>
      </c>
      <c r="J16" s="21">
        <v>1</v>
      </c>
      <c r="K16" s="21">
        <v>1</v>
      </c>
      <c r="L16" s="21">
        <v>3</v>
      </c>
      <c r="M16" s="21">
        <f t="shared" si="0"/>
        <v>6</v>
      </c>
      <c r="N16" s="22">
        <v>1</v>
      </c>
      <c r="O16" s="24">
        <f t="shared" si="1"/>
        <v>6</v>
      </c>
      <c r="P16" s="25" t="str">
        <f t="shared" si="8"/>
        <v>Tolerable</v>
      </c>
      <c r="Q16" s="25" t="str">
        <f t="shared" si="9"/>
        <v>NO</v>
      </c>
      <c r="R16" s="26" t="s">
        <v>118</v>
      </c>
      <c r="S16" s="22" t="s">
        <v>36</v>
      </c>
      <c r="T16" s="22">
        <v>1</v>
      </c>
      <c r="U16" s="21">
        <v>1</v>
      </c>
      <c r="V16" s="21">
        <v>1</v>
      </c>
      <c r="W16" s="21">
        <v>3</v>
      </c>
      <c r="X16" s="21">
        <f t="shared" si="4"/>
        <v>6</v>
      </c>
      <c r="Y16" s="22">
        <v>1</v>
      </c>
      <c r="Z16" s="24">
        <f t="shared" si="5"/>
        <v>6</v>
      </c>
      <c r="AA16" s="25" t="str">
        <f t="shared" si="10"/>
        <v>Tolerable</v>
      </c>
      <c r="AB16" s="25" t="str">
        <f t="shared" si="11"/>
        <v>NO</v>
      </c>
      <c r="AC16" s="26" t="s">
        <v>32</v>
      </c>
      <c r="AD16" s="27"/>
      <c r="AE16" s="27"/>
      <c r="AF16" s="27"/>
      <c r="AG16" s="27"/>
      <c r="AH16" s="27"/>
      <c r="AI16" s="27"/>
      <c r="AJ16" s="27"/>
    </row>
    <row r="17" spans="1:36" ht="51" customHeight="1" x14ac:dyDescent="0.3">
      <c r="A17" s="95"/>
      <c r="B17" s="95"/>
      <c r="C17" s="95"/>
      <c r="D17" s="95"/>
      <c r="E17" s="20" t="s">
        <v>27</v>
      </c>
      <c r="F17" s="20"/>
      <c r="G17" s="23" t="s">
        <v>195</v>
      </c>
      <c r="H17" s="22" t="s">
        <v>196</v>
      </c>
      <c r="I17" s="22">
        <v>1</v>
      </c>
      <c r="J17" s="21">
        <v>1</v>
      </c>
      <c r="K17" s="21">
        <v>1</v>
      </c>
      <c r="L17" s="21">
        <v>3</v>
      </c>
      <c r="M17" s="21">
        <f t="shared" si="0"/>
        <v>6</v>
      </c>
      <c r="N17" s="22">
        <v>2</v>
      </c>
      <c r="O17" s="24">
        <f t="shared" si="1"/>
        <v>12</v>
      </c>
      <c r="P17" s="25" t="str">
        <f t="shared" si="8"/>
        <v>Moderado</v>
      </c>
      <c r="Q17" s="25" t="str">
        <f t="shared" si="9"/>
        <v>NO</v>
      </c>
      <c r="R17" s="26" t="s">
        <v>197</v>
      </c>
      <c r="S17" s="22" t="s">
        <v>198</v>
      </c>
      <c r="T17" s="22">
        <v>1</v>
      </c>
      <c r="U17" s="21">
        <v>1</v>
      </c>
      <c r="V17" s="21">
        <v>1</v>
      </c>
      <c r="W17" s="21">
        <v>3</v>
      </c>
      <c r="X17" s="21">
        <f t="shared" si="4"/>
        <v>6</v>
      </c>
      <c r="Y17" s="22">
        <v>1</v>
      </c>
      <c r="Z17" s="24">
        <f t="shared" si="5"/>
        <v>6</v>
      </c>
      <c r="AA17" s="25" t="str">
        <f t="shared" si="10"/>
        <v>Tolerable</v>
      </c>
      <c r="AB17" s="25" t="str">
        <f t="shared" si="11"/>
        <v>NO</v>
      </c>
      <c r="AC17" s="26" t="s">
        <v>94</v>
      </c>
      <c r="AD17" s="27"/>
      <c r="AE17" s="27"/>
      <c r="AF17" s="27"/>
      <c r="AG17" s="27"/>
      <c r="AH17" s="27"/>
      <c r="AI17" s="27"/>
      <c r="AJ17" s="27"/>
    </row>
    <row r="18" spans="1:36" ht="33" customHeight="1" x14ac:dyDescent="0.3">
      <c r="A18" s="95"/>
      <c r="B18" s="95"/>
      <c r="C18" s="95"/>
      <c r="D18" s="95"/>
      <c r="E18" s="20"/>
      <c r="F18" s="28" t="s">
        <v>27</v>
      </c>
      <c r="G18" s="21" t="s">
        <v>56</v>
      </c>
      <c r="H18" s="21" t="s">
        <v>102</v>
      </c>
      <c r="I18" s="21">
        <v>1</v>
      </c>
      <c r="J18" s="21">
        <v>1</v>
      </c>
      <c r="K18" s="21">
        <v>1</v>
      </c>
      <c r="L18" s="21">
        <v>3</v>
      </c>
      <c r="M18" s="21">
        <f t="shared" si="0"/>
        <v>6</v>
      </c>
      <c r="N18" s="22">
        <v>2</v>
      </c>
      <c r="O18" s="24">
        <f t="shared" si="1"/>
        <v>12</v>
      </c>
      <c r="P18" s="25" t="str">
        <f t="shared" si="8"/>
        <v>Moderado</v>
      </c>
      <c r="Q18" s="25" t="str">
        <f t="shared" si="9"/>
        <v>NO</v>
      </c>
      <c r="R18" s="26" t="s">
        <v>58</v>
      </c>
      <c r="S18" s="22" t="s">
        <v>199</v>
      </c>
      <c r="T18" s="21">
        <v>1</v>
      </c>
      <c r="U18" s="21">
        <v>1</v>
      </c>
      <c r="V18" s="21">
        <v>1</v>
      </c>
      <c r="W18" s="21">
        <v>3</v>
      </c>
      <c r="X18" s="21">
        <f t="shared" si="4"/>
        <v>6</v>
      </c>
      <c r="Y18" s="22">
        <v>1</v>
      </c>
      <c r="Z18" s="24">
        <f t="shared" si="5"/>
        <v>6</v>
      </c>
      <c r="AA18" s="25" t="str">
        <f t="shared" si="10"/>
        <v>Tolerable</v>
      </c>
      <c r="AB18" s="25" t="str">
        <f t="shared" si="11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76.5" customHeight="1" x14ac:dyDescent="0.3">
      <c r="A19" s="95"/>
      <c r="B19" s="95"/>
      <c r="C19" s="95"/>
      <c r="D19" s="95"/>
      <c r="E19" s="21"/>
      <c r="F19" s="20" t="s">
        <v>27</v>
      </c>
      <c r="G19" s="22" t="s">
        <v>60</v>
      </c>
      <c r="H19" s="22" t="s">
        <v>61</v>
      </c>
      <c r="I19" s="23">
        <v>1</v>
      </c>
      <c r="J19" s="23">
        <v>1</v>
      </c>
      <c r="K19" s="23">
        <v>1</v>
      </c>
      <c r="L19" s="23">
        <v>3</v>
      </c>
      <c r="M19" s="21">
        <f t="shared" si="0"/>
        <v>6</v>
      </c>
      <c r="N19" s="23">
        <v>3</v>
      </c>
      <c r="O19" s="24">
        <f t="shared" si="1"/>
        <v>18</v>
      </c>
      <c r="P19" s="25" t="str">
        <f t="shared" si="8"/>
        <v>Importante</v>
      </c>
      <c r="Q19" s="25" t="str">
        <f t="shared" si="9"/>
        <v>SÍ</v>
      </c>
      <c r="R19" s="26" t="s">
        <v>62</v>
      </c>
      <c r="S19" s="22" t="s">
        <v>63</v>
      </c>
      <c r="T19" s="23">
        <v>1</v>
      </c>
      <c r="U19" s="23">
        <v>1</v>
      </c>
      <c r="V19" s="23">
        <v>1</v>
      </c>
      <c r="W19" s="23">
        <v>3</v>
      </c>
      <c r="X19" s="21">
        <f t="shared" si="4"/>
        <v>6</v>
      </c>
      <c r="Y19" s="23">
        <v>2</v>
      </c>
      <c r="Z19" s="24">
        <f t="shared" si="5"/>
        <v>12</v>
      </c>
      <c r="AA19" s="25" t="str">
        <f t="shared" si="10"/>
        <v>Moderado</v>
      </c>
      <c r="AB19" s="25" t="str">
        <f t="shared" si="11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77.25" customHeight="1" x14ac:dyDescent="0.3">
      <c r="A20" s="95"/>
      <c r="B20" s="95"/>
      <c r="C20" s="95"/>
      <c r="D20" s="95"/>
      <c r="E20" s="20"/>
      <c r="F20" s="28" t="s">
        <v>27</v>
      </c>
      <c r="G20" s="23" t="s">
        <v>182</v>
      </c>
      <c r="H20" s="39" t="s">
        <v>162</v>
      </c>
      <c r="I20" s="22">
        <v>1</v>
      </c>
      <c r="J20" s="21">
        <v>2</v>
      </c>
      <c r="K20" s="21">
        <v>2</v>
      </c>
      <c r="L20" s="21">
        <v>3</v>
      </c>
      <c r="M20" s="21">
        <f t="shared" si="0"/>
        <v>8</v>
      </c>
      <c r="N20" s="22">
        <v>2</v>
      </c>
      <c r="O20" s="24">
        <f t="shared" si="1"/>
        <v>16</v>
      </c>
      <c r="P20" s="25" t="str">
        <f t="shared" si="8"/>
        <v>Moderado</v>
      </c>
      <c r="Q20" s="25" t="str">
        <f t="shared" si="9"/>
        <v>NO</v>
      </c>
      <c r="R20" s="30" t="s">
        <v>97</v>
      </c>
      <c r="S20" s="22" t="s">
        <v>176</v>
      </c>
      <c r="T20" s="22">
        <v>1</v>
      </c>
      <c r="U20" s="21">
        <v>1</v>
      </c>
      <c r="V20" s="21">
        <v>2</v>
      </c>
      <c r="W20" s="21">
        <v>3</v>
      </c>
      <c r="X20" s="21">
        <f t="shared" si="4"/>
        <v>7</v>
      </c>
      <c r="Y20" s="22">
        <v>1</v>
      </c>
      <c r="Z20" s="24">
        <f t="shared" si="5"/>
        <v>7</v>
      </c>
      <c r="AA20" s="25" t="str">
        <f t="shared" si="10"/>
        <v>Tolerable</v>
      </c>
      <c r="AB20" s="25" t="str">
        <f t="shared" si="11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72.75" customHeight="1" x14ac:dyDescent="0.3">
      <c r="A21" s="96"/>
      <c r="B21" s="96"/>
      <c r="C21" s="96"/>
      <c r="D21" s="96"/>
      <c r="E21" s="20"/>
      <c r="F21" s="20" t="s">
        <v>27</v>
      </c>
      <c r="G21" s="23" t="s">
        <v>200</v>
      </c>
      <c r="H21" s="22" t="s">
        <v>201</v>
      </c>
      <c r="I21" s="23">
        <v>1</v>
      </c>
      <c r="J21" s="21">
        <v>1</v>
      </c>
      <c r="K21" s="21">
        <v>1</v>
      </c>
      <c r="L21" s="21">
        <v>3</v>
      </c>
      <c r="M21" s="21">
        <f t="shared" si="0"/>
        <v>6</v>
      </c>
      <c r="N21" s="23">
        <v>2</v>
      </c>
      <c r="O21" s="24">
        <f t="shared" si="1"/>
        <v>12</v>
      </c>
      <c r="P21" s="25" t="str">
        <f t="shared" si="8"/>
        <v>Moderado</v>
      </c>
      <c r="Q21" s="25" t="str">
        <f t="shared" si="9"/>
        <v>NO</v>
      </c>
      <c r="R21" s="26" t="s">
        <v>74</v>
      </c>
      <c r="S21" s="22" t="s">
        <v>202</v>
      </c>
      <c r="T21" s="23">
        <v>1</v>
      </c>
      <c r="U21" s="21">
        <v>1</v>
      </c>
      <c r="V21" s="21">
        <v>1</v>
      </c>
      <c r="W21" s="21">
        <v>3</v>
      </c>
      <c r="X21" s="21">
        <f t="shared" si="4"/>
        <v>6</v>
      </c>
      <c r="Y21" s="23">
        <v>1</v>
      </c>
      <c r="Z21" s="24">
        <f t="shared" si="5"/>
        <v>6</v>
      </c>
      <c r="AA21" s="25" t="str">
        <f t="shared" si="10"/>
        <v>Tolerable</v>
      </c>
      <c r="AB21" s="25" t="str">
        <f t="shared" si="11"/>
        <v>NO</v>
      </c>
      <c r="AC21" s="26" t="s">
        <v>76</v>
      </c>
      <c r="AD21" s="27"/>
      <c r="AE21" s="27"/>
      <c r="AF21" s="27"/>
      <c r="AG21" s="27"/>
      <c r="AH21" s="27"/>
      <c r="AI21" s="27"/>
      <c r="AJ21" s="27"/>
    </row>
    <row r="22" spans="1:36" ht="12.75" customHeight="1" x14ac:dyDescent="0.3">
      <c r="A22" s="1"/>
      <c r="B22" s="1"/>
      <c r="C22" s="2"/>
      <c r="D22" s="3"/>
      <c r="E22" s="31"/>
      <c r="F22" s="31"/>
      <c r="G22" s="5"/>
      <c r="H22" s="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ht="12.75" customHeight="1" x14ac:dyDescent="0.3">
      <c r="A23" s="1"/>
      <c r="B23" s="1"/>
      <c r="C23" s="2"/>
      <c r="D23" s="3"/>
      <c r="E23" s="31"/>
      <c r="F23" s="31"/>
      <c r="G23" s="5"/>
      <c r="H23" s="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2.75" customHeight="1" x14ac:dyDescent="0.3">
      <c r="A24" s="1"/>
      <c r="B24" s="1"/>
      <c r="C24" s="2"/>
      <c r="D24" s="3"/>
      <c r="E24" s="31"/>
      <c r="F24" s="31"/>
      <c r="G24" s="5"/>
      <c r="H24" s="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2.75" customHeight="1" x14ac:dyDescent="0.3">
      <c r="A25" s="1"/>
      <c r="B25" s="1"/>
      <c r="C25" s="2"/>
      <c r="D25" s="3"/>
      <c r="E25" s="31"/>
      <c r="F25" s="31"/>
      <c r="G25" s="5"/>
      <c r="H25" s="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ht="12.75" customHeight="1" x14ac:dyDescent="0.3">
      <c r="A26" s="1"/>
      <c r="B26" s="1"/>
      <c r="C26" s="2"/>
      <c r="D26" s="3"/>
      <c r="E26" s="31"/>
      <c r="F26" s="31"/>
      <c r="G26" s="5"/>
      <c r="H26" s="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2.75" customHeight="1" x14ac:dyDescent="0.3">
      <c r="A27" s="1"/>
      <c r="B27" s="1"/>
      <c r="C27" s="2"/>
      <c r="D27" s="3"/>
      <c r="E27" s="31"/>
      <c r="F27" s="31"/>
      <c r="G27" s="5"/>
      <c r="H27" s="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2.75" customHeight="1" x14ac:dyDescent="0.3">
      <c r="A28" s="1"/>
      <c r="B28" s="1"/>
      <c r="C28" s="2"/>
      <c r="D28" s="3"/>
      <c r="E28" s="31"/>
      <c r="F28" s="31"/>
      <c r="G28" s="5"/>
      <c r="H28" s="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ht="12.75" customHeight="1" x14ac:dyDescent="0.3">
      <c r="A29" s="1"/>
      <c r="B29" s="1"/>
      <c r="C29" s="2"/>
      <c r="D29" s="3"/>
      <c r="E29" s="31"/>
      <c r="F29" s="31"/>
      <c r="G29" s="5"/>
      <c r="H29" s="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2.75" customHeight="1" x14ac:dyDescent="0.3">
      <c r="A30" s="1"/>
      <c r="B30" s="1"/>
      <c r="C30" s="2"/>
      <c r="D30" s="3"/>
      <c r="E30" s="31"/>
      <c r="F30" s="31"/>
      <c r="G30" s="5"/>
      <c r="H30" s="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ht="12.75" customHeight="1" x14ac:dyDescent="0.3">
      <c r="A31" s="1"/>
      <c r="B31" s="1"/>
      <c r="C31" s="2"/>
      <c r="D31" s="3"/>
      <c r="E31" s="31"/>
      <c r="F31" s="31"/>
      <c r="G31" s="5"/>
      <c r="H31" s="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2.75" customHeight="1" x14ac:dyDescent="0.3">
      <c r="A32" s="1"/>
      <c r="B32" s="1"/>
      <c r="C32" s="2"/>
      <c r="D32" s="3"/>
      <c r="E32" s="31"/>
      <c r="F32" s="31"/>
      <c r="G32" s="5"/>
      <c r="H32" s="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.75" customHeight="1" x14ac:dyDescent="0.3">
      <c r="A33" s="1"/>
      <c r="B33" s="1"/>
      <c r="C33" s="2"/>
      <c r="D33" s="3"/>
      <c r="E33" s="31"/>
      <c r="F33" s="31"/>
      <c r="G33" s="5"/>
      <c r="H33" s="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.75" customHeight="1" x14ac:dyDescent="0.3">
      <c r="A34" s="1"/>
      <c r="B34" s="1"/>
      <c r="C34" s="2"/>
      <c r="D34" s="3"/>
      <c r="E34" s="31"/>
      <c r="F34" s="31"/>
      <c r="G34" s="5"/>
      <c r="H34" s="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.75" customHeight="1" x14ac:dyDescent="0.3">
      <c r="A35" s="1"/>
      <c r="B35" s="1"/>
      <c r="C35" s="2"/>
      <c r="D35" s="3"/>
      <c r="E35" s="31"/>
      <c r="F35" s="31"/>
      <c r="G35" s="5"/>
      <c r="H35" s="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2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8">
    <mergeCell ref="E8:F10"/>
    <mergeCell ref="G8:G11"/>
    <mergeCell ref="H8:H11"/>
    <mergeCell ref="I8:Q8"/>
    <mergeCell ref="A12:A21"/>
    <mergeCell ref="B12:B21"/>
    <mergeCell ref="C12:C21"/>
    <mergeCell ref="D12:D21"/>
    <mergeCell ref="A8:A11"/>
    <mergeCell ref="B8:B11"/>
    <mergeCell ref="C8:C11"/>
    <mergeCell ref="D8:D11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</mergeCells>
  <conditionalFormatting sqref="P1:P18 P22:P1001 AA7 AA10:AA18">
    <cfRule type="cellIs" dxfId="86" priority="1" operator="equal">
      <formula>"No Aceptable"</formula>
    </cfRule>
  </conditionalFormatting>
  <conditionalFormatting sqref="P1:P18 P22:P1001 AA7 AA10:AA18">
    <cfRule type="cellIs" dxfId="85" priority="2" operator="equal">
      <formula>"Importante"</formula>
    </cfRule>
  </conditionalFormatting>
  <conditionalFormatting sqref="P1:P18 P22:P1001 AA7 AA10:AA18">
    <cfRule type="cellIs" dxfId="84" priority="3" operator="equal">
      <formula>"Moderado"</formula>
    </cfRule>
  </conditionalFormatting>
  <conditionalFormatting sqref="P1:P18 P22:P1001 AA7 AA10:AA18">
    <cfRule type="cellIs" dxfId="83" priority="4" operator="equal">
      <formula>"Tolerable"</formula>
    </cfRule>
  </conditionalFormatting>
  <conditionalFormatting sqref="P1:P18 P22:P1001 AA7 AA10:AA18">
    <cfRule type="cellIs" dxfId="82" priority="5" operator="equal">
      <formula>"Trivial"</formula>
    </cfRule>
  </conditionalFormatting>
  <conditionalFormatting sqref="G13:G18">
    <cfRule type="expression" dxfId="81" priority="6">
      <formula>P13="No Aceptable"</formula>
    </cfRule>
  </conditionalFormatting>
  <conditionalFormatting sqref="P20 AA20">
    <cfRule type="cellIs" dxfId="80" priority="7" operator="equal">
      <formula>"No Aceptable"</formula>
    </cfRule>
  </conditionalFormatting>
  <conditionalFormatting sqref="P20 AA20">
    <cfRule type="cellIs" dxfId="79" priority="8" operator="equal">
      <formula>"Importante"</formula>
    </cfRule>
  </conditionalFormatting>
  <conditionalFormatting sqref="P20 AA20">
    <cfRule type="cellIs" dxfId="78" priority="9" operator="equal">
      <formula>"Moderado"</formula>
    </cfRule>
  </conditionalFormatting>
  <conditionalFormatting sqref="P20 AA20">
    <cfRule type="cellIs" dxfId="77" priority="10" operator="equal">
      <formula>"Tolerable"</formula>
    </cfRule>
  </conditionalFormatting>
  <conditionalFormatting sqref="P20 AA20">
    <cfRule type="cellIs" dxfId="76" priority="11" operator="equal">
      <formula>"Trivial"</formula>
    </cfRule>
  </conditionalFormatting>
  <conditionalFormatting sqref="G20">
    <cfRule type="expression" dxfId="75" priority="12">
      <formula>P20="No Aceptable"</formula>
    </cfRule>
  </conditionalFormatting>
  <conditionalFormatting sqref="P21 AA21">
    <cfRule type="cellIs" dxfId="74" priority="13" operator="equal">
      <formula>"No Aceptable"</formula>
    </cfRule>
  </conditionalFormatting>
  <conditionalFormatting sqref="P21 AA21">
    <cfRule type="cellIs" dxfId="73" priority="14" operator="equal">
      <formula>"Importante"</formula>
    </cfRule>
  </conditionalFormatting>
  <conditionalFormatting sqref="P21 AA21">
    <cfRule type="cellIs" dxfId="72" priority="15" operator="equal">
      <formula>"Moderado"</formula>
    </cfRule>
  </conditionalFormatting>
  <conditionalFormatting sqref="P21 AA21">
    <cfRule type="cellIs" dxfId="71" priority="16" operator="equal">
      <formula>"Tolerable"</formula>
    </cfRule>
  </conditionalFormatting>
  <conditionalFormatting sqref="P21 AA21">
    <cfRule type="cellIs" dxfId="70" priority="17" operator="equal">
      <formula>"Trivial"</formula>
    </cfRule>
  </conditionalFormatting>
  <conditionalFormatting sqref="G21">
    <cfRule type="expression" dxfId="69" priority="18">
      <formula>P21="No Aceptable"</formula>
    </cfRule>
  </conditionalFormatting>
  <conditionalFormatting sqref="G12">
    <cfRule type="expression" dxfId="68" priority="19">
      <formula>P12="No Aceptable"</formula>
    </cfRule>
  </conditionalFormatting>
  <conditionalFormatting sqref="P19 AA19">
    <cfRule type="cellIs" dxfId="67" priority="20" operator="equal">
      <formula>"No Aceptable"</formula>
    </cfRule>
  </conditionalFormatting>
  <conditionalFormatting sqref="P19 AA19">
    <cfRule type="cellIs" dxfId="66" priority="21" operator="equal">
      <formula>"Importante"</formula>
    </cfRule>
  </conditionalFormatting>
  <conditionalFormatting sqref="P19 AA19">
    <cfRule type="cellIs" dxfId="65" priority="22" operator="equal">
      <formula>"Moderado"</formula>
    </cfRule>
  </conditionalFormatting>
  <conditionalFormatting sqref="P19 AA19">
    <cfRule type="cellIs" dxfId="64" priority="23" operator="equal">
      <formula>"Tolerable"</formula>
    </cfRule>
  </conditionalFormatting>
  <conditionalFormatting sqref="P19 AA19">
    <cfRule type="cellIs" dxfId="63" priority="24" operator="equal">
      <formula>"Trivial"</formula>
    </cfRule>
  </conditionalFormatting>
  <conditionalFormatting sqref="G19">
    <cfRule type="expression" dxfId="62" priority="25">
      <formula>P19="No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1"/>
  <sheetViews>
    <sheetView showGridLines="0" zoomScale="60" zoomScaleNormal="60" workbookViewId="0">
      <pane ySplit="11" topLeftCell="A12" activePane="bottomLeft" state="frozen"/>
      <selection pane="bottomLeft" activeCell="I12" sqref="I12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76" t="s">
        <v>0</v>
      </c>
      <c r="B8" s="76" t="s">
        <v>1</v>
      </c>
      <c r="C8" s="76" t="s">
        <v>2</v>
      </c>
      <c r="D8" s="76" t="s">
        <v>3</v>
      </c>
      <c r="E8" s="80" t="s">
        <v>4</v>
      </c>
      <c r="F8" s="119"/>
      <c r="G8" s="76" t="s">
        <v>5</v>
      </c>
      <c r="H8" s="93" t="s">
        <v>6</v>
      </c>
      <c r="I8" s="86" t="s">
        <v>7</v>
      </c>
      <c r="J8" s="112"/>
      <c r="K8" s="112"/>
      <c r="L8" s="112"/>
      <c r="M8" s="112"/>
      <c r="N8" s="112"/>
      <c r="O8" s="112"/>
      <c r="P8" s="112"/>
      <c r="Q8" s="113"/>
      <c r="R8" s="14"/>
      <c r="S8" s="14"/>
      <c r="T8" s="86"/>
      <c r="U8" s="112"/>
      <c r="V8" s="112"/>
      <c r="W8" s="112"/>
      <c r="X8" s="112"/>
      <c r="Y8" s="112"/>
      <c r="Z8" s="112"/>
      <c r="AA8" s="112"/>
      <c r="AB8" s="113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95"/>
      <c r="B9" s="95"/>
      <c r="C9" s="95"/>
      <c r="D9" s="95"/>
      <c r="E9" s="120"/>
      <c r="F9" s="121"/>
      <c r="G9" s="95"/>
      <c r="H9" s="95"/>
      <c r="I9" s="86" t="s">
        <v>7</v>
      </c>
      <c r="J9" s="112"/>
      <c r="K9" s="112"/>
      <c r="L9" s="112"/>
      <c r="M9" s="112"/>
      <c r="N9" s="112"/>
      <c r="O9" s="112"/>
      <c r="P9" s="112"/>
      <c r="Q9" s="113"/>
      <c r="R9" s="16"/>
      <c r="S9" s="16"/>
      <c r="T9" s="86" t="s">
        <v>8</v>
      </c>
      <c r="U9" s="112"/>
      <c r="V9" s="112"/>
      <c r="W9" s="112"/>
      <c r="X9" s="112"/>
      <c r="Y9" s="112"/>
      <c r="Z9" s="112"/>
      <c r="AA9" s="112"/>
      <c r="AB9" s="113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95"/>
      <c r="B10" s="95"/>
      <c r="C10" s="95"/>
      <c r="D10" s="95"/>
      <c r="E10" s="122"/>
      <c r="F10" s="123"/>
      <c r="G10" s="95"/>
      <c r="H10" s="95"/>
      <c r="I10" s="89" t="s">
        <v>9</v>
      </c>
      <c r="J10" s="112"/>
      <c r="K10" s="112"/>
      <c r="L10" s="113"/>
      <c r="M10" s="90" t="s">
        <v>10</v>
      </c>
      <c r="N10" s="90" t="s">
        <v>11</v>
      </c>
      <c r="O10" s="90" t="s">
        <v>12</v>
      </c>
      <c r="P10" s="90" t="s">
        <v>13</v>
      </c>
      <c r="Q10" s="90" t="s">
        <v>14</v>
      </c>
      <c r="R10" s="16" t="s">
        <v>15</v>
      </c>
      <c r="S10" s="92" t="s">
        <v>16</v>
      </c>
      <c r="T10" s="89" t="s">
        <v>9</v>
      </c>
      <c r="U10" s="112"/>
      <c r="V10" s="112"/>
      <c r="W10" s="113"/>
      <c r="X10" s="90" t="s">
        <v>10</v>
      </c>
      <c r="Y10" s="90" t="s">
        <v>11</v>
      </c>
      <c r="Z10" s="90" t="s">
        <v>12</v>
      </c>
      <c r="AA10" s="90" t="s">
        <v>13</v>
      </c>
      <c r="AB10" s="90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72.75" customHeight="1" x14ac:dyDescent="0.3">
      <c r="A11" s="124"/>
      <c r="B11" s="124"/>
      <c r="C11" s="124"/>
      <c r="D11" s="124"/>
      <c r="E11" s="17" t="s">
        <v>18</v>
      </c>
      <c r="F11" s="18" t="s">
        <v>19</v>
      </c>
      <c r="G11" s="96"/>
      <c r="H11" s="96"/>
      <c r="I11" s="19" t="s">
        <v>20</v>
      </c>
      <c r="J11" s="19" t="s">
        <v>21</v>
      </c>
      <c r="K11" s="19" t="s">
        <v>22</v>
      </c>
      <c r="L11" s="19" t="s">
        <v>23</v>
      </c>
      <c r="M11" s="114"/>
      <c r="N11" s="114"/>
      <c r="O11" s="114"/>
      <c r="P11" s="114"/>
      <c r="Q11" s="114"/>
      <c r="R11" s="16"/>
      <c r="S11" s="114"/>
      <c r="T11" s="19" t="s">
        <v>20</v>
      </c>
      <c r="U11" s="19" t="s">
        <v>21</v>
      </c>
      <c r="V11" s="19" t="s">
        <v>22</v>
      </c>
      <c r="W11" s="19" t="s">
        <v>23</v>
      </c>
      <c r="X11" s="114"/>
      <c r="Y11" s="114"/>
      <c r="Z11" s="114"/>
      <c r="AA11" s="114"/>
      <c r="AB11" s="114"/>
      <c r="AC11" s="16"/>
      <c r="AD11" s="15"/>
      <c r="AE11" s="15"/>
      <c r="AF11" s="15"/>
      <c r="AG11" s="15"/>
      <c r="AH11" s="15"/>
      <c r="AI11" s="15"/>
      <c r="AJ11" s="15"/>
    </row>
    <row r="12" spans="1:36" ht="76.5" customHeight="1" x14ac:dyDescent="0.3">
      <c r="A12" s="107">
        <v>5</v>
      </c>
      <c r="B12" s="110" t="s">
        <v>24</v>
      </c>
      <c r="C12" s="111" t="s">
        <v>25</v>
      </c>
      <c r="D12" s="111" t="s">
        <v>26</v>
      </c>
      <c r="E12" s="73"/>
      <c r="F12" s="70" t="s">
        <v>27</v>
      </c>
      <c r="G12" s="21" t="s">
        <v>28</v>
      </c>
      <c r="H12" s="22" t="s">
        <v>29</v>
      </c>
      <c r="I12" s="23">
        <v>1</v>
      </c>
      <c r="J12" s="23">
        <v>2</v>
      </c>
      <c r="K12" s="23">
        <v>1</v>
      </c>
      <c r="L12" s="23">
        <v>2</v>
      </c>
      <c r="M12" s="21">
        <f t="shared" ref="M12:M20" si="0">I12+J12+K12+L12</f>
        <v>6</v>
      </c>
      <c r="N12" s="23">
        <v>1</v>
      </c>
      <c r="O12" s="24">
        <f t="shared" ref="O12:O20" si="1">M12*N12</f>
        <v>6</v>
      </c>
      <c r="P12" s="25" t="str">
        <f t="shared" ref="P12:P20" si="2">IF(G12="No","It",IF(O12&lt;=4,"Trivial",IF(O12&lt;=8,"Tolerable",IF(O12&lt;=16,"Moderado",IF(O12&lt;=24,"Importante",IF(O12&lt;=36,"No Aceptable"))))))</f>
        <v>Tolerable</v>
      </c>
      <c r="Q12" s="25" t="str">
        <f t="shared" ref="Q12:Q20" si="3">IF(P12="Trivial","NO",IF(P12="Tolerable","NO",IF(P12="Moderado","NO",IF(P12="Importante","SÍ",IF(P12="No Aceptable","SÍ")))))</f>
        <v>NO</v>
      </c>
      <c r="R12" s="26" t="s">
        <v>30</v>
      </c>
      <c r="S12" s="22" t="s">
        <v>31</v>
      </c>
      <c r="T12" s="23">
        <v>1</v>
      </c>
      <c r="U12" s="23">
        <v>1</v>
      </c>
      <c r="V12" s="23">
        <v>1</v>
      </c>
      <c r="W12" s="23">
        <v>2</v>
      </c>
      <c r="X12" s="21">
        <f t="shared" ref="X12:X20" si="4">T12+U12+V12+W12</f>
        <v>5</v>
      </c>
      <c r="Y12" s="23">
        <v>1</v>
      </c>
      <c r="Z12" s="24">
        <f t="shared" ref="Z12:Z20" si="5">X12*Y12</f>
        <v>5</v>
      </c>
      <c r="AA12" s="25" t="str">
        <f t="shared" ref="AA12:AA20" si="6">IF(R12="No","It",IF(Z12&lt;=4,"Trivial",IF(Z12&lt;=8,"Tolerable",IF(Z12&lt;=16,"Moderado",IF(Z12&lt;=24,"Importante",IF(Z12&lt;=36,"No Aceptable"))))))</f>
        <v>Tolerable</v>
      </c>
      <c r="AB12" s="25" t="str">
        <f t="shared" ref="AB12:AB20" si="7">IF(AA12="Trivial","NO",IF(AA12="Tolerable","NO",IF(AA12="Moderado","NO",IF(AA12="Importante","SÍ",IF(AA12="No Aceptable","SÍ")))))</f>
        <v>NO</v>
      </c>
      <c r="AC12" s="26" t="s">
        <v>32</v>
      </c>
      <c r="AD12" s="27"/>
      <c r="AE12" s="27"/>
      <c r="AF12" s="27"/>
      <c r="AG12" s="27"/>
      <c r="AH12" s="27"/>
      <c r="AI12" s="27"/>
      <c r="AJ12" s="27"/>
    </row>
    <row r="13" spans="1:36" ht="76.5" customHeight="1" x14ac:dyDescent="0.3">
      <c r="A13" s="108"/>
      <c r="B13" s="110"/>
      <c r="C13" s="111"/>
      <c r="D13" s="111"/>
      <c r="E13" s="73"/>
      <c r="F13" s="70" t="s">
        <v>27</v>
      </c>
      <c r="G13" s="22" t="s">
        <v>33</v>
      </c>
      <c r="H13" s="22" t="s">
        <v>34</v>
      </c>
      <c r="I13" s="23">
        <v>1</v>
      </c>
      <c r="J13" s="23">
        <v>1</v>
      </c>
      <c r="K13" s="23">
        <v>1</v>
      </c>
      <c r="L13" s="23">
        <v>2</v>
      </c>
      <c r="M13" s="21">
        <f t="shared" si="0"/>
        <v>5</v>
      </c>
      <c r="N13" s="23">
        <v>1</v>
      </c>
      <c r="O13" s="24">
        <f t="shared" si="1"/>
        <v>5</v>
      </c>
      <c r="P13" s="25" t="str">
        <f t="shared" si="2"/>
        <v>Tolerable</v>
      </c>
      <c r="Q13" s="25" t="str">
        <f t="shared" si="3"/>
        <v>NO</v>
      </c>
      <c r="R13" s="26" t="s">
        <v>35</v>
      </c>
      <c r="S13" s="22" t="s">
        <v>36</v>
      </c>
      <c r="T13" s="23">
        <v>1</v>
      </c>
      <c r="U13" s="23">
        <v>1</v>
      </c>
      <c r="V13" s="23">
        <v>1</v>
      </c>
      <c r="W13" s="23">
        <v>2</v>
      </c>
      <c r="X13" s="21">
        <f t="shared" si="4"/>
        <v>5</v>
      </c>
      <c r="Y13" s="23">
        <v>1</v>
      </c>
      <c r="Z13" s="24">
        <f t="shared" si="5"/>
        <v>5</v>
      </c>
      <c r="AA13" s="25" t="str">
        <f t="shared" si="6"/>
        <v>Tolerable</v>
      </c>
      <c r="AB13" s="25" t="str">
        <f t="shared" si="7"/>
        <v>NO</v>
      </c>
      <c r="AC13" s="26" t="s">
        <v>37</v>
      </c>
      <c r="AD13" s="27"/>
      <c r="AE13" s="27"/>
      <c r="AF13" s="27"/>
      <c r="AG13" s="27"/>
      <c r="AH13" s="27"/>
      <c r="AI13" s="27"/>
      <c r="AJ13" s="27"/>
    </row>
    <row r="14" spans="1:36" ht="76.5" customHeight="1" x14ac:dyDescent="0.3">
      <c r="A14" s="108"/>
      <c r="B14" s="110"/>
      <c r="C14" s="111"/>
      <c r="D14" s="111"/>
      <c r="E14" s="73"/>
      <c r="F14" s="70" t="s">
        <v>27</v>
      </c>
      <c r="G14" s="21" t="s">
        <v>38</v>
      </c>
      <c r="H14" s="21" t="s">
        <v>39</v>
      </c>
      <c r="I14" s="23">
        <v>1</v>
      </c>
      <c r="J14" s="23">
        <v>1</v>
      </c>
      <c r="K14" s="23">
        <v>1</v>
      </c>
      <c r="L14" s="23">
        <v>2</v>
      </c>
      <c r="M14" s="21">
        <f t="shared" si="0"/>
        <v>5</v>
      </c>
      <c r="N14" s="23">
        <v>1</v>
      </c>
      <c r="O14" s="24">
        <f t="shared" si="1"/>
        <v>5</v>
      </c>
      <c r="P14" s="25" t="str">
        <f t="shared" si="2"/>
        <v>Tolerable</v>
      </c>
      <c r="Q14" s="25" t="str">
        <f t="shared" si="3"/>
        <v>NO</v>
      </c>
      <c r="R14" s="26" t="s">
        <v>40</v>
      </c>
      <c r="S14" s="22" t="s">
        <v>41</v>
      </c>
      <c r="T14" s="23">
        <v>1</v>
      </c>
      <c r="U14" s="23">
        <v>1</v>
      </c>
      <c r="V14" s="23">
        <v>1</v>
      </c>
      <c r="W14" s="23">
        <v>2</v>
      </c>
      <c r="X14" s="21">
        <f t="shared" si="4"/>
        <v>5</v>
      </c>
      <c r="Y14" s="23">
        <v>1</v>
      </c>
      <c r="Z14" s="24">
        <f t="shared" si="5"/>
        <v>5</v>
      </c>
      <c r="AA14" s="25" t="str">
        <f t="shared" si="6"/>
        <v>Tolerable</v>
      </c>
      <c r="AB14" s="25" t="str">
        <f t="shared" si="7"/>
        <v>NO</v>
      </c>
      <c r="AC14" s="26" t="s">
        <v>32</v>
      </c>
      <c r="AD14" s="27"/>
      <c r="AE14" s="27"/>
      <c r="AF14" s="27"/>
      <c r="AG14" s="27"/>
      <c r="AH14" s="27"/>
      <c r="AI14" s="27"/>
      <c r="AJ14" s="27"/>
    </row>
    <row r="15" spans="1:36" ht="76.5" customHeight="1" x14ac:dyDescent="0.3">
      <c r="A15" s="108"/>
      <c r="B15" s="110"/>
      <c r="C15" s="111"/>
      <c r="D15" s="111"/>
      <c r="E15" s="74"/>
      <c r="F15" s="71" t="s">
        <v>27</v>
      </c>
      <c r="G15" s="21" t="s">
        <v>42</v>
      </c>
      <c r="H15" s="21" t="s">
        <v>43</v>
      </c>
      <c r="I15" s="23">
        <v>1</v>
      </c>
      <c r="J15" s="23">
        <v>1</v>
      </c>
      <c r="K15" s="23">
        <v>1</v>
      </c>
      <c r="L15" s="23">
        <v>2</v>
      </c>
      <c r="M15" s="21">
        <f t="shared" si="0"/>
        <v>5</v>
      </c>
      <c r="N15" s="23">
        <v>1</v>
      </c>
      <c r="O15" s="24">
        <f t="shared" si="1"/>
        <v>5</v>
      </c>
      <c r="P15" s="25" t="str">
        <f t="shared" si="2"/>
        <v>Tolerable</v>
      </c>
      <c r="Q15" s="25" t="str">
        <f t="shared" si="3"/>
        <v>NO</v>
      </c>
      <c r="R15" s="26" t="s">
        <v>44</v>
      </c>
      <c r="S15" s="22" t="s">
        <v>45</v>
      </c>
      <c r="T15" s="23">
        <v>1</v>
      </c>
      <c r="U15" s="23">
        <v>1</v>
      </c>
      <c r="V15" s="23">
        <v>1</v>
      </c>
      <c r="W15" s="23">
        <v>2</v>
      </c>
      <c r="X15" s="21">
        <f t="shared" si="4"/>
        <v>5</v>
      </c>
      <c r="Y15" s="23">
        <v>1</v>
      </c>
      <c r="Z15" s="24">
        <f t="shared" si="5"/>
        <v>5</v>
      </c>
      <c r="AA15" s="25" t="str">
        <f t="shared" si="6"/>
        <v>Tolerable</v>
      </c>
      <c r="AB15" s="25" t="str">
        <f t="shared" si="7"/>
        <v>NO</v>
      </c>
      <c r="AC15" s="26" t="s">
        <v>32</v>
      </c>
      <c r="AD15" s="27"/>
      <c r="AE15" s="27"/>
      <c r="AF15" s="27"/>
      <c r="AG15" s="27"/>
      <c r="AH15" s="27"/>
      <c r="AI15" s="27"/>
      <c r="AJ15" s="27"/>
    </row>
    <row r="16" spans="1:36" ht="76.5" customHeight="1" x14ac:dyDescent="0.3">
      <c r="A16" s="108"/>
      <c r="B16" s="110"/>
      <c r="C16" s="111"/>
      <c r="D16" s="111"/>
      <c r="E16" s="74"/>
      <c r="F16" s="71" t="s">
        <v>27</v>
      </c>
      <c r="G16" s="21" t="s">
        <v>46</v>
      </c>
      <c r="H16" s="21" t="s">
        <v>47</v>
      </c>
      <c r="I16" s="23">
        <v>1</v>
      </c>
      <c r="J16" s="23">
        <v>1</v>
      </c>
      <c r="K16" s="23">
        <v>1</v>
      </c>
      <c r="L16" s="23">
        <v>2</v>
      </c>
      <c r="M16" s="21">
        <f t="shared" si="0"/>
        <v>5</v>
      </c>
      <c r="N16" s="23">
        <v>1</v>
      </c>
      <c r="O16" s="24">
        <f t="shared" si="1"/>
        <v>5</v>
      </c>
      <c r="P16" s="25" t="str">
        <f t="shared" si="2"/>
        <v>Tolerable</v>
      </c>
      <c r="Q16" s="25" t="str">
        <f t="shared" si="3"/>
        <v>NO</v>
      </c>
      <c r="R16" s="29" t="s">
        <v>48</v>
      </c>
      <c r="S16" s="23" t="s">
        <v>49</v>
      </c>
      <c r="T16" s="23">
        <v>1</v>
      </c>
      <c r="U16" s="23">
        <v>1</v>
      </c>
      <c r="V16" s="23">
        <v>1</v>
      </c>
      <c r="W16" s="23">
        <v>2</v>
      </c>
      <c r="X16" s="21">
        <f t="shared" si="4"/>
        <v>5</v>
      </c>
      <c r="Y16" s="23">
        <v>1</v>
      </c>
      <c r="Z16" s="24">
        <f t="shared" si="5"/>
        <v>5</v>
      </c>
      <c r="AA16" s="25" t="str">
        <f t="shared" si="6"/>
        <v>Tolerable</v>
      </c>
      <c r="AB16" s="25" t="str">
        <f t="shared" si="7"/>
        <v>NO</v>
      </c>
      <c r="AC16" s="26" t="s">
        <v>50</v>
      </c>
      <c r="AD16" s="27"/>
      <c r="AE16" s="27"/>
      <c r="AF16" s="27"/>
      <c r="AG16" s="27"/>
      <c r="AH16" s="27"/>
      <c r="AI16" s="27"/>
      <c r="AJ16" s="27"/>
    </row>
    <row r="17" spans="1:36" ht="76.5" customHeight="1" x14ac:dyDescent="0.3">
      <c r="A17" s="108"/>
      <c r="B17" s="110"/>
      <c r="C17" s="111"/>
      <c r="D17" s="111"/>
      <c r="E17" s="72"/>
      <c r="F17" s="70" t="s">
        <v>27</v>
      </c>
      <c r="G17" s="23" t="s">
        <v>51</v>
      </c>
      <c r="H17" s="22" t="s">
        <v>52</v>
      </c>
      <c r="I17" s="23">
        <v>1</v>
      </c>
      <c r="J17" s="23">
        <v>1</v>
      </c>
      <c r="K17" s="23">
        <v>1</v>
      </c>
      <c r="L17" s="23">
        <v>2</v>
      </c>
      <c r="M17" s="21">
        <f t="shared" si="0"/>
        <v>5</v>
      </c>
      <c r="N17" s="23">
        <v>3</v>
      </c>
      <c r="O17" s="24">
        <f t="shared" si="1"/>
        <v>15</v>
      </c>
      <c r="P17" s="25" t="str">
        <f t="shared" si="2"/>
        <v>Moderado</v>
      </c>
      <c r="Q17" s="25" t="str">
        <f t="shared" si="3"/>
        <v>NO</v>
      </c>
      <c r="R17" s="26" t="s">
        <v>53</v>
      </c>
      <c r="S17" s="22" t="s">
        <v>54</v>
      </c>
      <c r="T17" s="23">
        <v>1</v>
      </c>
      <c r="U17" s="23">
        <v>1</v>
      </c>
      <c r="V17" s="23">
        <v>1</v>
      </c>
      <c r="W17" s="23">
        <v>2</v>
      </c>
      <c r="X17" s="21">
        <f t="shared" si="4"/>
        <v>5</v>
      </c>
      <c r="Y17" s="23">
        <v>2</v>
      </c>
      <c r="Z17" s="24">
        <f t="shared" si="5"/>
        <v>10</v>
      </c>
      <c r="AA17" s="25" t="str">
        <f t="shared" si="6"/>
        <v>Moderado</v>
      </c>
      <c r="AB17" s="25" t="str">
        <f t="shared" si="7"/>
        <v>NO</v>
      </c>
      <c r="AC17" s="26" t="s">
        <v>55</v>
      </c>
      <c r="AD17" s="27"/>
      <c r="AE17" s="27"/>
      <c r="AF17" s="27"/>
      <c r="AG17" s="27"/>
      <c r="AH17" s="27"/>
      <c r="AI17" s="27"/>
      <c r="AJ17" s="27"/>
    </row>
    <row r="18" spans="1:36" ht="76.5" customHeight="1" x14ac:dyDescent="0.3">
      <c r="A18" s="108"/>
      <c r="B18" s="110"/>
      <c r="C18" s="111"/>
      <c r="D18" s="111"/>
      <c r="E18" s="74"/>
      <c r="F18" s="71" t="s">
        <v>27</v>
      </c>
      <c r="G18" s="21" t="s">
        <v>56</v>
      </c>
      <c r="H18" s="21" t="s">
        <v>57</v>
      </c>
      <c r="I18" s="23">
        <v>1</v>
      </c>
      <c r="J18" s="23">
        <v>1</v>
      </c>
      <c r="K18" s="23">
        <v>1</v>
      </c>
      <c r="L18" s="23">
        <v>2</v>
      </c>
      <c r="M18" s="21">
        <f t="shared" si="0"/>
        <v>5</v>
      </c>
      <c r="N18" s="23">
        <v>2</v>
      </c>
      <c r="O18" s="24">
        <f t="shared" si="1"/>
        <v>10</v>
      </c>
      <c r="P18" s="25" t="str">
        <f t="shared" si="2"/>
        <v>Moderado</v>
      </c>
      <c r="Q18" s="25" t="str">
        <f t="shared" si="3"/>
        <v>NO</v>
      </c>
      <c r="R18" s="26" t="s">
        <v>58</v>
      </c>
      <c r="S18" s="22" t="s">
        <v>59</v>
      </c>
      <c r="T18" s="23">
        <v>1</v>
      </c>
      <c r="U18" s="23">
        <v>1</v>
      </c>
      <c r="V18" s="23">
        <v>1</v>
      </c>
      <c r="W18" s="23">
        <v>2</v>
      </c>
      <c r="X18" s="21">
        <f t="shared" si="4"/>
        <v>5</v>
      </c>
      <c r="Y18" s="23">
        <v>1</v>
      </c>
      <c r="Z18" s="24">
        <f t="shared" si="5"/>
        <v>5</v>
      </c>
      <c r="AA18" s="25" t="str">
        <f t="shared" si="6"/>
        <v>Tolerable</v>
      </c>
      <c r="AB18" s="25" t="str">
        <f t="shared" si="7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76.5" customHeight="1" x14ac:dyDescent="0.3">
      <c r="A19" s="108"/>
      <c r="B19" s="110"/>
      <c r="C19" s="111"/>
      <c r="D19" s="111"/>
      <c r="E19" s="72"/>
      <c r="F19" s="70" t="s">
        <v>27</v>
      </c>
      <c r="G19" s="22" t="s">
        <v>60</v>
      </c>
      <c r="H19" s="22" t="s">
        <v>61</v>
      </c>
      <c r="I19" s="23">
        <v>1</v>
      </c>
      <c r="J19" s="23">
        <v>1</v>
      </c>
      <c r="K19" s="23">
        <v>1</v>
      </c>
      <c r="L19" s="23">
        <v>3</v>
      </c>
      <c r="M19" s="21">
        <f t="shared" si="0"/>
        <v>6</v>
      </c>
      <c r="N19" s="23">
        <v>2</v>
      </c>
      <c r="O19" s="24">
        <f t="shared" si="1"/>
        <v>12</v>
      </c>
      <c r="P19" s="25" t="str">
        <f t="shared" si="2"/>
        <v>Moderado</v>
      </c>
      <c r="Q19" s="25" t="str">
        <f t="shared" si="3"/>
        <v>NO</v>
      </c>
      <c r="R19" s="26" t="s">
        <v>62</v>
      </c>
      <c r="S19" s="22" t="s">
        <v>63</v>
      </c>
      <c r="T19" s="23">
        <v>1</v>
      </c>
      <c r="U19" s="23">
        <v>1</v>
      </c>
      <c r="V19" s="23">
        <v>1</v>
      </c>
      <c r="W19" s="23">
        <v>3</v>
      </c>
      <c r="X19" s="21">
        <f t="shared" si="4"/>
        <v>6</v>
      </c>
      <c r="Y19" s="23">
        <v>2</v>
      </c>
      <c r="Z19" s="24">
        <f t="shared" si="5"/>
        <v>12</v>
      </c>
      <c r="AA19" s="25" t="str">
        <f t="shared" si="6"/>
        <v>Moderado</v>
      </c>
      <c r="AB19" s="25" t="str">
        <f t="shared" si="7"/>
        <v>NO</v>
      </c>
      <c r="AC19" s="30" t="s">
        <v>64</v>
      </c>
      <c r="AD19" s="27"/>
      <c r="AE19" s="27"/>
      <c r="AF19" s="27"/>
      <c r="AG19" s="27"/>
      <c r="AH19" s="27"/>
      <c r="AI19" s="27"/>
      <c r="AJ19" s="27"/>
    </row>
    <row r="20" spans="1:36" ht="76.5" customHeight="1" x14ac:dyDescent="0.3">
      <c r="A20" s="109"/>
      <c r="B20" s="110"/>
      <c r="C20" s="111"/>
      <c r="D20" s="111"/>
      <c r="E20" s="74"/>
      <c r="F20" s="71" t="s">
        <v>27</v>
      </c>
      <c r="G20" s="21" t="s">
        <v>65</v>
      </c>
      <c r="H20" s="21" t="s">
        <v>66</v>
      </c>
      <c r="I20" s="23">
        <v>1</v>
      </c>
      <c r="J20" s="23">
        <v>1</v>
      </c>
      <c r="K20" s="23">
        <v>2</v>
      </c>
      <c r="L20" s="23">
        <v>3</v>
      </c>
      <c r="M20" s="21">
        <f t="shared" si="0"/>
        <v>7</v>
      </c>
      <c r="N20" s="23">
        <v>2</v>
      </c>
      <c r="O20" s="24">
        <f t="shared" si="1"/>
        <v>14</v>
      </c>
      <c r="P20" s="25" t="str">
        <f t="shared" si="2"/>
        <v>Moderado</v>
      </c>
      <c r="Q20" s="25" t="str">
        <f t="shared" si="3"/>
        <v>NO</v>
      </c>
      <c r="R20" s="30" t="s">
        <v>67</v>
      </c>
      <c r="S20" s="23" t="s">
        <v>49</v>
      </c>
      <c r="T20" s="23">
        <v>1</v>
      </c>
      <c r="U20" s="23">
        <v>1</v>
      </c>
      <c r="V20" s="23">
        <v>1</v>
      </c>
      <c r="W20" s="23">
        <v>3</v>
      </c>
      <c r="X20" s="21">
        <f t="shared" si="4"/>
        <v>6</v>
      </c>
      <c r="Y20" s="23">
        <v>1</v>
      </c>
      <c r="Z20" s="24">
        <f t="shared" si="5"/>
        <v>6</v>
      </c>
      <c r="AA20" s="25" t="str">
        <f t="shared" si="6"/>
        <v>Tolerable</v>
      </c>
      <c r="AB20" s="25" t="str">
        <f t="shared" si="7"/>
        <v>NO</v>
      </c>
      <c r="AC20" s="26" t="s">
        <v>68</v>
      </c>
      <c r="AD20" s="27"/>
      <c r="AE20" s="27"/>
      <c r="AF20" s="27"/>
      <c r="AG20" s="27"/>
      <c r="AH20" s="27"/>
      <c r="AI20" s="27"/>
      <c r="AJ20" s="27"/>
    </row>
    <row r="21" spans="1:36" ht="12.75" customHeight="1" x14ac:dyDescent="0.3">
      <c r="A21" s="1"/>
      <c r="B21" s="1"/>
      <c r="C21" s="2"/>
      <c r="D21" s="3"/>
      <c r="E21" s="31"/>
      <c r="F21" s="31"/>
      <c r="G21" s="5"/>
      <c r="H21" s="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ht="12.75" customHeight="1" x14ac:dyDescent="0.3">
      <c r="A22" s="1"/>
      <c r="B22" s="1"/>
      <c r="C22" s="2"/>
      <c r="D22" s="3"/>
      <c r="E22" s="31"/>
      <c r="F22" s="31"/>
      <c r="G22" s="5"/>
      <c r="H22" s="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ht="12.75" customHeight="1" x14ac:dyDescent="0.3">
      <c r="A23" s="1"/>
      <c r="B23" s="1"/>
      <c r="C23" s="2"/>
      <c r="D23" s="3"/>
      <c r="E23" s="31"/>
      <c r="F23" s="31"/>
      <c r="G23" s="5"/>
      <c r="H23" s="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2.75" customHeight="1" x14ac:dyDescent="0.3">
      <c r="A24" s="1"/>
      <c r="B24" s="1"/>
      <c r="C24" s="2"/>
      <c r="D24" s="3"/>
      <c r="E24" s="31"/>
      <c r="F24" s="31"/>
      <c r="G24" s="5"/>
      <c r="H24" s="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2.75" customHeight="1" x14ac:dyDescent="0.3">
      <c r="A25" s="1"/>
      <c r="B25" s="1"/>
      <c r="C25" s="2"/>
      <c r="D25" s="3"/>
      <c r="E25" s="31"/>
      <c r="F25" s="31"/>
      <c r="G25" s="5"/>
      <c r="H25" s="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ht="12.75" customHeight="1" x14ac:dyDescent="0.3">
      <c r="A26" s="1"/>
      <c r="B26" s="1"/>
      <c r="C26" s="2"/>
      <c r="D26" s="3"/>
      <c r="E26" s="31"/>
      <c r="F26" s="31"/>
      <c r="G26" s="5"/>
      <c r="H26" s="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2.75" customHeight="1" x14ac:dyDescent="0.3">
      <c r="A27" s="1"/>
      <c r="B27" s="1"/>
      <c r="C27" s="2"/>
      <c r="D27" s="3"/>
      <c r="E27" s="31"/>
      <c r="F27" s="31"/>
      <c r="G27" s="5"/>
      <c r="H27" s="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2.75" customHeight="1" x14ac:dyDescent="0.3">
      <c r="A28" s="1"/>
      <c r="B28" s="1"/>
      <c r="C28" s="2"/>
      <c r="D28" s="3"/>
      <c r="E28" s="31"/>
      <c r="F28" s="31"/>
      <c r="G28" s="5"/>
      <c r="H28" s="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ht="12.75" customHeight="1" x14ac:dyDescent="0.3">
      <c r="A29" s="1"/>
      <c r="B29" s="1"/>
      <c r="C29" s="2"/>
      <c r="D29" s="3"/>
      <c r="E29" s="31"/>
      <c r="F29" s="31"/>
      <c r="G29" s="5"/>
      <c r="H29" s="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2.75" customHeight="1" x14ac:dyDescent="0.3">
      <c r="A30" s="1"/>
      <c r="B30" s="1"/>
      <c r="C30" s="2"/>
      <c r="D30" s="3"/>
      <c r="E30" s="31"/>
      <c r="F30" s="31"/>
      <c r="G30" s="5"/>
      <c r="H30" s="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ht="12.75" customHeight="1" x14ac:dyDescent="0.3">
      <c r="A31" s="1"/>
      <c r="B31" s="1"/>
      <c r="C31" s="2"/>
      <c r="D31" s="3"/>
      <c r="E31" s="31"/>
      <c r="F31" s="31"/>
      <c r="G31" s="5"/>
      <c r="H31" s="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2.75" customHeight="1" x14ac:dyDescent="0.3">
      <c r="A32" s="1"/>
      <c r="B32" s="1"/>
      <c r="C32" s="2"/>
      <c r="D32" s="3"/>
      <c r="E32" s="31"/>
      <c r="F32" s="31"/>
      <c r="G32" s="5"/>
      <c r="H32" s="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.75" customHeight="1" x14ac:dyDescent="0.3">
      <c r="A33" s="1"/>
      <c r="B33" s="1"/>
      <c r="C33" s="2"/>
      <c r="D33" s="3"/>
      <c r="E33" s="31"/>
      <c r="F33" s="31"/>
      <c r="G33" s="5"/>
      <c r="H33" s="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.75" customHeight="1" x14ac:dyDescent="0.3">
      <c r="A34" s="1"/>
      <c r="B34" s="1"/>
      <c r="C34" s="2"/>
      <c r="D34" s="3"/>
      <c r="E34" s="31"/>
      <c r="F34" s="31"/>
      <c r="G34" s="5"/>
      <c r="H34" s="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.75" customHeight="1" x14ac:dyDescent="0.3">
      <c r="A35" s="1"/>
      <c r="B35" s="1"/>
      <c r="C35" s="2"/>
      <c r="D35" s="3"/>
      <c r="E35" s="31"/>
      <c r="F35" s="31"/>
      <c r="G35" s="5"/>
      <c r="H35" s="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2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8">
    <mergeCell ref="D12:D20"/>
    <mergeCell ref="C12:C20"/>
    <mergeCell ref="B12:B20"/>
    <mergeCell ref="A12:A20"/>
    <mergeCell ref="I8:Q8"/>
    <mergeCell ref="A8:A11"/>
    <mergeCell ref="B8:B11"/>
    <mergeCell ref="C8:C11"/>
    <mergeCell ref="D8:D11"/>
    <mergeCell ref="E8:F10"/>
    <mergeCell ref="G8:G11"/>
    <mergeCell ref="H8:H11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</mergeCells>
  <conditionalFormatting sqref="P1:P11 P17 P21:P1001 AA7 AA10:AA11 AA17">
    <cfRule type="cellIs" dxfId="61" priority="1" operator="equal">
      <formula>"No Aceptable"</formula>
    </cfRule>
  </conditionalFormatting>
  <conditionalFormatting sqref="P1:P11 P17 P21:P1001 AA7 AA10:AA11 AA17">
    <cfRule type="cellIs" dxfId="60" priority="2" operator="equal">
      <formula>"Importante"</formula>
    </cfRule>
  </conditionalFormatting>
  <conditionalFormatting sqref="P1:P11 P17 P21:P1001 AA7 AA10:AA11 AA17">
    <cfRule type="cellIs" dxfId="59" priority="3" operator="equal">
      <formula>"Moderado"</formula>
    </cfRule>
  </conditionalFormatting>
  <conditionalFormatting sqref="P1:P11 P17 P21:P1001 AA7 AA10:AA11 AA17">
    <cfRule type="cellIs" dxfId="58" priority="4" operator="equal">
      <formula>"Tolerable"</formula>
    </cfRule>
  </conditionalFormatting>
  <conditionalFormatting sqref="P1:P11 P17 P21:P1001 AA7 AA10:AA11 AA17">
    <cfRule type="cellIs" dxfId="57" priority="5" operator="equal">
      <formula>"Trivial"</formula>
    </cfRule>
  </conditionalFormatting>
  <conditionalFormatting sqref="G17">
    <cfRule type="expression" dxfId="56" priority="6">
      <formula>P17="No Aceptable"</formula>
    </cfRule>
  </conditionalFormatting>
  <conditionalFormatting sqref="A12">
    <cfRule type="expression" dxfId="55" priority="7">
      <formula>J17="No Aceptable"</formula>
    </cfRule>
  </conditionalFormatting>
  <conditionalFormatting sqref="P14 AA14">
    <cfRule type="cellIs" dxfId="54" priority="8" operator="equal">
      <formula>"No Aceptable"</formula>
    </cfRule>
  </conditionalFormatting>
  <conditionalFormatting sqref="P14 AA14">
    <cfRule type="cellIs" dxfId="53" priority="9" operator="equal">
      <formula>"Importante"</formula>
    </cfRule>
  </conditionalFormatting>
  <conditionalFormatting sqref="P14 AA14">
    <cfRule type="cellIs" dxfId="52" priority="10" operator="equal">
      <formula>"Moderado"</formula>
    </cfRule>
  </conditionalFormatting>
  <conditionalFormatting sqref="P14 AA14">
    <cfRule type="cellIs" dxfId="51" priority="11" operator="equal">
      <formula>"Tolerable"</formula>
    </cfRule>
  </conditionalFormatting>
  <conditionalFormatting sqref="P14 AA14">
    <cfRule type="cellIs" dxfId="50" priority="12" operator="equal">
      <formula>"Trivial"</formula>
    </cfRule>
  </conditionalFormatting>
  <conditionalFormatting sqref="G14">
    <cfRule type="expression" dxfId="49" priority="13">
      <formula>P14="No Aceptable"</formula>
    </cfRule>
  </conditionalFormatting>
  <conditionalFormatting sqref="P13 AA13">
    <cfRule type="cellIs" dxfId="48" priority="14" operator="equal">
      <formula>"No Aceptable"</formula>
    </cfRule>
  </conditionalFormatting>
  <conditionalFormatting sqref="P13 AA13">
    <cfRule type="cellIs" dxfId="47" priority="15" operator="equal">
      <formula>"Importante"</formula>
    </cfRule>
  </conditionalFormatting>
  <conditionalFormatting sqref="P13 AA13">
    <cfRule type="cellIs" dxfId="46" priority="16" operator="equal">
      <formula>"Moderado"</formula>
    </cfRule>
  </conditionalFormatting>
  <conditionalFormatting sqref="P13 AA13">
    <cfRule type="cellIs" dxfId="45" priority="17" operator="equal">
      <formula>"Tolerable"</formula>
    </cfRule>
  </conditionalFormatting>
  <conditionalFormatting sqref="P13 AA13">
    <cfRule type="cellIs" dxfId="44" priority="18" operator="equal">
      <formula>"Trivial"</formula>
    </cfRule>
  </conditionalFormatting>
  <conditionalFormatting sqref="G13">
    <cfRule type="expression" dxfId="43" priority="19">
      <formula>P13="No Aceptable"</formula>
    </cfRule>
  </conditionalFormatting>
  <conditionalFormatting sqref="P12 AA12">
    <cfRule type="cellIs" dxfId="42" priority="20" operator="equal">
      <formula>"No Aceptable"</formula>
    </cfRule>
  </conditionalFormatting>
  <conditionalFormatting sqref="P12 AA12">
    <cfRule type="cellIs" dxfId="41" priority="21" operator="equal">
      <formula>"Importante"</formula>
    </cfRule>
  </conditionalFormatting>
  <conditionalFormatting sqref="P12 AA12">
    <cfRule type="cellIs" dxfId="40" priority="22" operator="equal">
      <formula>"Moderado"</formula>
    </cfRule>
  </conditionalFormatting>
  <conditionalFormatting sqref="P12 AA12">
    <cfRule type="cellIs" dxfId="39" priority="23" operator="equal">
      <formula>"Tolerable"</formula>
    </cfRule>
  </conditionalFormatting>
  <conditionalFormatting sqref="P12 AA12">
    <cfRule type="cellIs" dxfId="38" priority="24" operator="equal">
      <formula>"Trivial"</formula>
    </cfRule>
  </conditionalFormatting>
  <conditionalFormatting sqref="G12">
    <cfRule type="expression" dxfId="37" priority="25">
      <formula>P12="No Aceptable"</formula>
    </cfRule>
  </conditionalFormatting>
  <conditionalFormatting sqref="P16 AA16">
    <cfRule type="cellIs" dxfId="36" priority="26" operator="equal">
      <formula>"No Aceptable"</formula>
    </cfRule>
  </conditionalFormatting>
  <conditionalFormatting sqref="P16 AA16">
    <cfRule type="cellIs" dxfId="35" priority="27" operator="equal">
      <formula>"Importante"</formula>
    </cfRule>
  </conditionalFormatting>
  <conditionalFormatting sqref="P16 AA16">
    <cfRule type="cellIs" dxfId="34" priority="28" operator="equal">
      <formula>"Moderado"</formula>
    </cfRule>
  </conditionalFormatting>
  <conditionalFormatting sqref="P16 AA16">
    <cfRule type="cellIs" dxfId="33" priority="29" operator="equal">
      <formula>"Tolerable"</formula>
    </cfRule>
  </conditionalFormatting>
  <conditionalFormatting sqref="P16 AA16">
    <cfRule type="cellIs" dxfId="32" priority="30" operator="equal">
      <formula>"Trivial"</formula>
    </cfRule>
  </conditionalFormatting>
  <conditionalFormatting sqref="G16">
    <cfRule type="expression" dxfId="31" priority="31">
      <formula>P16="No Aceptable"</formula>
    </cfRule>
  </conditionalFormatting>
  <conditionalFormatting sqref="P15 AA15">
    <cfRule type="cellIs" dxfId="30" priority="32" operator="equal">
      <formula>"No Aceptable"</formula>
    </cfRule>
  </conditionalFormatting>
  <conditionalFormatting sqref="P15 AA15">
    <cfRule type="cellIs" dxfId="29" priority="33" operator="equal">
      <formula>"Importante"</formula>
    </cfRule>
  </conditionalFormatting>
  <conditionalFormatting sqref="P15 AA15">
    <cfRule type="cellIs" dxfId="28" priority="34" operator="equal">
      <formula>"Moderado"</formula>
    </cfRule>
  </conditionalFormatting>
  <conditionalFormatting sqref="P15 AA15">
    <cfRule type="cellIs" dxfId="27" priority="35" operator="equal">
      <formula>"Tolerable"</formula>
    </cfRule>
  </conditionalFormatting>
  <conditionalFormatting sqref="P15 AA15">
    <cfRule type="cellIs" dxfId="26" priority="36" operator="equal">
      <formula>"Trivial"</formula>
    </cfRule>
  </conditionalFormatting>
  <conditionalFormatting sqref="G15">
    <cfRule type="expression" dxfId="25" priority="37">
      <formula>P15="No Aceptable"</formula>
    </cfRule>
  </conditionalFormatting>
  <conditionalFormatting sqref="P18 AA18">
    <cfRule type="cellIs" dxfId="24" priority="38" operator="equal">
      <formula>"No Aceptable"</formula>
    </cfRule>
  </conditionalFormatting>
  <conditionalFormatting sqref="P18 AA18">
    <cfRule type="cellIs" dxfId="23" priority="39" operator="equal">
      <formula>"Importante"</formula>
    </cfRule>
  </conditionalFormatting>
  <conditionalFormatting sqref="P18 AA18">
    <cfRule type="cellIs" dxfId="22" priority="40" operator="equal">
      <formula>"Moderado"</formula>
    </cfRule>
  </conditionalFormatting>
  <conditionalFormatting sqref="P18 AA18">
    <cfRule type="cellIs" dxfId="21" priority="41" operator="equal">
      <formula>"Tolerable"</formula>
    </cfRule>
  </conditionalFormatting>
  <conditionalFormatting sqref="P18 AA18">
    <cfRule type="cellIs" dxfId="20" priority="42" operator="equal">
      <formula>"Trivial"</formula>
    </cfRule>
  </conditionalFormatting>
  <conditionalFormatting sqref="G18">
    <cfRule type="expression" dxfId="19" priority="43">
      <formula>P18="No Aceptable"</formula>
    </cfRule>
  </conditionalFormatting>
  <conditionalFormatting sqref="P20 AA20">
    <cfRule type="cellIs" dxfId="18" priority="44" operator="equal">
      <formula>"No Aceptable"</formula>
    </cfRule>
  </conditionalFormatting>
  <conditionalFormatting sqref="P20 AA20">
    <cfRule type="cellIs" dxfId="17" priority="45" operator="equal">
      <formula>"Importante"</formula>
    </cfRule>
  </conditionalFormatting>
  <conditionalFormatting sqref="P20 AA20">
    <cfRule type="cellIs" dxfId="16" priority="46" operator="equal">
      <formula>"Moderado"</formula>
    </cfRule>
  </conditionalFormatting>
  <conditionalFormatting sqref="P20 AA20">
    <cfRule type="cellIs" dxfId="15" priority="47" operator="equal">
      <formula>"Tolerable"</formula>
    </cfRule>
  </conditionalFormatting>
  <conditionalFormatting sqref="P20 AA20">
    <cfRule type="cellIs" dxfId="14" priority="48" operator="equal">
      <formula>"Trivial"</formula>
    </cfRule>
  </conditionalFormatting>
  <conditionalFormatting sqref="G20">
    <cfRule type="expression" dxfId="13" priority="49">
      <formula>P20="No Aceptable"</formula>
    </cfRule>
  </conditionalFormatting>
  <conditionalFormatting sqref="G19">
    <cfRule type="expression" dxfId="12" priority="50">
      <formula>P19="No Aceptable"</formula>
    </cfRule>
  </conditionalFormatting>
  <conditionalFormatting sqref="P19 AA19">
    <cfRule type="cellIs" dxfId="11" priority="51" operator="equal">
      <formula>"No Aceptable"</formula>
    </cfRule>
  </conditionalFormatting>
  <conditionalFormatting sqref="P19 AA19">
    <cfRule type="cellIs" dxfId="10" priority="52" operator="equal">
      <formula>"Importante"</formula>
    </cfRule>
  </conditionalFormatting>
  <conditionalFormatting sqref="P19 AA19">
    <cfRule type="cellIs" dxfId="9" priority="53" operator="equal">
      <formula>"Moderado"</formula>
    </cfRule>
  </conditionalFormatting>
  <conditionalFormatting sqref="P19 AA19">
    <cfRule type="cellIs" dxfId="8" priority="54" operator="equal">
      <formula>"Tolerable"</formula>
    </cfRule>
  </conditionalFormatting>
  <conditionalFormatting sqref="P19 AA19">
    <cfRule type="cellIs" dxfId="7" priority="55" operator="equal">
      <formula>"Trivial"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0"/>
  <sheetViews>
    <sheetView showGridLines="0" zoomScale="60" zoomScaleNormal="60" workbookViewId="0">
      <pane ySplit="11" topLeftCell="A12" activePane="bottomLeft" state="frozen"/>
      <selection pane="bottomLeft" activeCell="H14" sqref="H14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42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customHeight="1" x14ac:dyDescent="0.3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7.5" customHeight="1" x14ac:dyDescent="0.3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2.75" customHeight="1" x14ac:dyDescent="0.4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2.75" customHeight="1" x14ac:dyDescent="0.4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2.75" customHeight="1" x14ac:dyDescent="0.4">
      <c r="A6" s="7"/>
      <c r="B6" s="7"/>
      <c r="C6" s="7"/>
      <c r="D6" s="7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2.75" customHeight="1" x14ac:dyDescent="0.3">
      <c r="A7" s="7"/>
      <c r="B7" s="7"/>
      <c r="C7" s="7"/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7.25" customHeight="1" x14ac:dyDescent="0.3">
      <c r="A8" s="76" t="s">
        <v>0</v>
      </c>
      <c r="B8" s="76" t="s">
        <v>1</v>
      </c>
      <c r="C8" s="76" t="s">
        <v>2</v>
      </c>
      <c r="D8" s="76" t="s">
        <v>3</v>
      </c>
      <c r="E8" s="80" t="s">
        <v>4</v>
      </c>
      <c r="F8" s="119"/>
      <c r="G8" s="76" t="s">
        <v>69</v>
      </c>
      <c r="H8" s="93" t="s">
        <v>6</v>
      </c>
      <c r="I8" s="86" t="s">
        <v>7</v>
      </c>
      <c r="J8" s="112"/>
      <c r="K8" s="112"/>
      <c r="L8" s="112"/>
      <c r="M8" s="112"/>
      <c r="N8" s="112"/>
      <c r="O8" s="112"/>
      <c r="P8" s="112"/>
      <c r="Q8" s="113"/>
      <c r="R8" s="14"/>
      <c r="S8" s="14"/>
      <c r="T8" s="86"/>
      <c r="U8" s="112"/>
      <c r="V8" s="112"/>
      <c r="W8" s="112"/>
      <c r="X8" s="112"/>
      <c r="Y8" s="112"/>
      <c r="Z8" s="112"/>
      <c r="AA8" s="112"/>
      <c r="AB8" s="113"/>
      <c r="AC8" s="14"/>
      <c r="AD8" s="15"/>
      <c r="AE8" s="15"/>
      <c r="AF8" s="15"/>
      <c r="AG8" s="15"/>
      <c r="AH8" s="15"/>
      <c r="AI8" s="15"/>
      <c r="AJ8" s="15"/>
    </row>
    <row r="9" spans="1:36" ht="15" customHeight="1" x14ac:dyDescent="0.3">
      <c r="A9" s="95"/>
      <c r="B9" s="95"/>
      <c r="C9" s="95"/>
      <c r="D9" s="95"/>
      <c r="E9" s="120"/>
      <c r="F9" s="121"/>
      <c r="G9" s="95"/>
      <c r="H9" s="95"/>
      <c r="I9" s="86" t="s">
        <v>7</v>
      </c>
      <c r="J9" s="112"/>
      <c r="K9" s="112"/>
      <c r="L9" s="112"/>
      <c r="M9" s="112"/>
      <c r="N9" s="112"/>
      <c r="O9" s="112"/>
      <c r="P9" s="112"/>
      <c r="Q9" s="113"/>
      <c r="R9" s="16"/>
      <c r="S9" s="16"/>
      <c r="T9" s="86" t="s">
        <v>8</v>
      </c>
      <c r="U9" s="112"/>
      <c r="V9" s="112"/>
      <c r="W9" s="112"/>
      <c r="X9" s="112"/>
      <c r="Y9" s="112"/>
      <c r="Z9" s="112"/>
      <c r="AA9" s="112"/>
      <c r="AB9" s="113"/>
      <c r="AC9" s="16"/>
      <c r="AD9" s="15"/>
      <c r="AE9" s="15"/>
      <c r="AF9" s="15"/>
      <c r="AG9" s="15"/>
      <c r="AH9" s="15"/>
      <c r="AI9" s="15"/>
      <c r="AJ9" s="15"/>
    </row>
    <row r="10" spans="1:36" ht="62.25" customHeight="1" x14ac:dyDescent="0.3">
      <c r="A10" s="95"/>
      <c r="B10" s="95"/>
      <c r="C10" s="95"/>
      <c r="D10" s="95"/>
      <c r="E10" s="122"/>
      <c r="F10" s="123"/>
      <c r="G10" s="95"/>
      <c r="H10" s="95"/>
      <c r="I10" s="89" t="s">
        <v>9</v>
      </c>
      <c r="J10" s="112"/>
      <c r="K10" s="112"/>
      <c r="L10" s="113"/>
      <c r="M10" s="90" t="s">
        <v>10</v>
      </c>
      <c r="N10" s="90" t="s">
        <v>11</v>
      </c>
      <c r="O10" s="90" t="s">
        <v>12</v>
      </c>
      <c r="P10" s="90" t="s">
        <v>13</v>
      </c>
      <c r="Q10" s="90" t="s">
        <v>14</v>
      </c>
      <c r="R10" s="16" t="s">
        <v>15</v>
      </c>
      <c r="S10" s="92" t="s">
        <v>16</v>
      </c>
      <c r="T10" s="89" t="s">
        <v>9</v>
      </c>
      <c r="U10" s="112"/>
      <c r="V10" s="112"/>
      <c r="W10" s="113"/>
      <c r="X10" s="90" t="s">
        <v>10</v>
      </c>
      <c r="Y10" s="90" t="s">
        <v>11</v>
      </c>
      <c r="Z10" s="90" t="s">
        <v>12</v>
      </c>
      <c r="AA10" s="90" t="s">
        <v>13</v>
      </c>
      <c r="AB10" s="90" t="s">
        <v>14</v>
      </c>
      <c r="AC10" s="16" t="s">
        <v>17</v>
      </c>
      <c r="AD10" s="15"/>
      <c r="AE10" s="15"/>
      <c r="AF10" s="15"/>
      <c r="AG10" s="15"/>
      <c r="AH10" s="15"/>
      <c r="AI10" s="15"/>
      <c r="AJ10" s="15"/>
    </row>
    <row r="11" spans="1:36" ht="69" customHeight="1" x14ac:dyDescent="0.3">
      <c r="A11" s="114"/>
      <c r="B11" s="96"/>
      <c r="C11" s="114"/>
      <c r="D11" s="114"/>
      <c r="E11" s="17" t="s">
        <v>18</v>
      </c>
      <c r="F11" s="18" t="s">
        <v>19</v>
      </c>
      <c r="G11" s="96"/>
      <c r="H11" s="96"/>
      <c r="I11" s="19" t="s">
        <v>20</v>
      </c>
      <c r="J11" s="19" t="s">
        <v>21</v>
      </c>
      <c r="K11" s="19" t="s">
        <v>22</v>
      </c>
      <c r="L11" s="19" t="s">
        <v>23</v>
      </c>
      <c r="M11" s="114"/>
      <c r="N11" s="114"/>
      <c r="O11" s="114"/>
      <c r="P11" s="114"/>
      <c r="Q11" s="114"/>
      <c r="R11" s="16"/>
      <c r="S11" s="114"/>
      <c r="T11" s="19" t="s">
        <v>20</v>
      </c>
      <c r="U11" s="19" t="s">
        <v>21</v>
      </c>
      <c r="V11" s="19" t="s">
        <v>22</v>
      </c>
      <c r="W11" s="19" t="s">
        <v>23</v>
      </c>
      <c r="X11" s="114"/>
      <c r="Y11" s="114"/>
      <c r="Z11" s="114"/>
      <c r="AA11" s="114"/>
      <c r="AB11" s="114"/>
      <c r="AC11" s="16"/>
      <c r="AD11" s="15"/>
      <c r="AE11" s="15"/>
      <c r="AF11" s="15"/>
      <c r="AG11" s="15"/>
      <c r="AH11" s="15"/>
      <c r="AI11" s="15"/>
      <c r="AJ11" s="15"/>
    </row>
    <row r="12" spans="1:36" ht="87.75" customHeight="1" x14ac:dyDescent="0.3">
      <c r="A12" s="94">
        <v>6</v>
      </c>
      <c r="B12" s="33"/>
      <c r="C12" s="91" t="s">
        <v>70</v>
      </c>
      <c r="D12" s="94" t="s">
        <v>71</v>
      </c>
      <c r="E12" s="20" t="s">
        <v>27</v>
      </c>
      <c r="F12" s="20"/>
      <c r="G12" s="23" t="s">
        <v>72</v>
      </c>
      <c r="H12" s="22" t="s">
        <v>73</v>
      </c>
      <c r="I12" s="23">
        <v>3</v>
      </c>
      <c r="J12" s="23">
        <v>2</v>
      </c>
      <c r="K12" s="23">
        <v>2</v>
      </c>
      <c r="L12" s="23">
        <v>3</v>
      </c>
      <c r="M12" s="21">
        <f t="shared" ref="M12:M31" si="0">I12+J12+K12+L12</f>
        <v>10</v>
      </c>
      <c r="N12" s="23">
        <v>2</v>
      </c>
      <c r="O12" s="24">
        <f t="shared" ref="O12:O31" si="1">M12*N12</f>
        <v>20</v>
      </c>
      <c r="P12" s="25" t="str">
        <f t="shared" ref="P12:P31" si="2">IF(G12="No","It",IF(O12&lt;=4,"Trivial",IF(O12&lt;=8,"Tolerable",IF(O12&lt;=16,"Moderado",IF(O12&lt;=24,"Importante",IF(O12&lt;=36,"No Aceptable"))))))</f>
        <v>Importante</v>
      </c>
      <c r="Q12" s="25" t="str">
        <f t="shared" ref="Q12:Q31" si="3">IF(P12="Trivial","NO",IF(P12="Tolerable","NO",IF(P12="Moderado","NO",IF(P12="Importante","SÍ",IF(P12="No Aceptable","SÍ")))))</f>
        <v>SÍ</v>
      </c>
      <c r="R12" s="26" t="s">
        <v>74</v>
      </c>
      <c r="S12" s="22" t="s">
        <v>75</v>
      </c>
      <c r="T12" s="23">
        <v>3</v>
      </c>
      <c r="U12" s="23">
        <v>1</v>
      </c>
      <c r="V12" s="23">
        <v>1</v>
      </c>
      <c r="W12" s="23">
        <v>1</v>
      </c>
      <c r="X12" s="21">
        <f t="shared" ref="X12:X31" si="4">T12+U12+V12+W12</f>
        <v>6</v>
      </c>
      <c r="Y12" s="23">
        <v>2</v>
      </c>
      <c r="Z12" s="24">
        <f t="shared" ref="Z12:Z31" si="5">X12*Y12</f>
        <v>12</v>
      </c>
      <c r="AA12" s="25" t="str">
        <f t="shared" ref="AA12:AA31" si="6">IF(R12="No","It",IF(Z12&lt;=4,"Trivial",IF(Z12&lt;=8,"Tolerable",IF(Z12&lt;=16,"Moderado",IF(Z12&lt;=24,"Importante",IF(Z12&lt;=36,"No Aceptable"))))))</f>
        <v>Moderado</v>
      </c>
      <c r="AB12" s="25" t="str">
        <f t="shared" ref="AB12:AB30" si="7">IF(AA12="Trivial","NO",IF(AA12="Tolerable","NO",IF(AA12="Moderado","NO",IF(AA12="Importante","SÍ",IF(AA12="No Aceptable","SÍ")))))</f>
        <v>NO</v>
      </c>
      <c r="AC12" s="26" t="s">
        <v>76</v>
      </c>
      <c r="AD12" s="27"/>
      <c r="AE12" s="27"/>
      <c r="AF12" s="27"/>
      <c r="AG12" s="27"/>
      <c r="AH12" s="27"/>
      <c r="AI12" s="27"/>
      <c r="AJ12" s="27"/>
    </row>
    <row r="13" spans="1:36" ht="51" customHeight="1" x14ac:dyDescent="0.3">
      <c r="A13" s="95"/>
      <c r="B13" s="33"/>
      <c r="C13" s="95"/>
      <c r="D13" s="95"/>
      <c r="E13" s="20" t="s">
        <v>27</v>
      </c>
      <c r="F13" s="20"/>
      <c r="G13" s="35" t="s">
        <v>77</v>
      </c>
      <c r="H13" s="36" t="s">
        <v>78</v>
      </c>
      <c r="I13" s="23">
        <v>1</v>
      </c>
      <c r="J13" s="23">
        <v>2</v>
      </c>
      <c r="K13" s="23">
        <v>1</v>
      </c>
      <c r="L13" s="23">
        <v>3</v>
      </c>
      <c r="M13" s="21">
        <f t="shared" si="0"/>
        <v>7</v>
      </c>
      <c r="N13" s="23">
        <v>2</v>
      </c>
      <c r="O13" s="24">
        <f t="shared" si="1"/>
        <v>14</v>
      </c>
      <c r="P13" s="25" t="str">
        <f t="shared" si="2"/>
        <v>Moderado</v>
      </c>
      <c r="Q13" s="25" t="str">
        <f t="shared" si="3"/>
        <v>NO</v>
      </c>
      <c r="R13" s="37" t="s">
        <v>79</v>
      </c>
      <c r="S13" s="22" t="s">
        <v>36</v>
      </c>
      <c r="T13" s="23">
        <v>1</v>
      </c>
      <c r="U13" s="23">
        <v>1</v>
      </c>
      <c r="V13" s="23">
        <v>1</v>
      </c>
      <c r="W13" s="23">
        <v>3</v>
      </c>
      <c r="X13" s="21">
        <f t="shared" si="4"/>
        <v>6</v>
      </c>
      <c r="Y13" s="23">
        <v>1</v>
      </c>
      <c r="Z13" s="24">
        <f t="shared" si="5"/>
        <v>6</v>
      </c>
      <c r="AA13" s="25" t="str">
        <f t="shared" si="6"/>
        <v>Tolerable</v>
      </c>
      <c r="AB13" s="25" t="str">
        <f t="shared" si="7"/>
        <v>NO</v>
      </c>
      <c r="AC13" s="26" t="s">
        <v>80</v>
      </c>
      <c r="AD13" s="27"/>
      <c r="AE13" s="27"/>
      <c r="AF13" s="27"/>
      <c r="AG13" s="27"/>
      <c r="AH13" s="27"/>
      <c r="AI13" s="27"/>
      <c r="AJ13" s="27"/>
    </row>
    <row r="14" spans="1:36" ht="63.75" customHeight="1" x14ac:dyDescent="0.3">
      <c r="A14" s="95"/>
      <c r="B14" s="33"/>
      <c r="C14" s="95"/>
      <c r="D14" s="95"/>
      <c r="E14" s="20" t="s">
        <v>27</v>
      </c>
      <c r="F14" s="20"/>
      <c r="G14" s="38" t="s">
        <v>81</v>
      </c>
      <c r="H14" s="22" t="s">
        <v>82</v>
      </c>
      <c r="I14" s="23">
        <v>3</v>
      </c>
      <c r="J14" s="23">
        <v>1</v>
      </c>
      <c r="K14" s="23">
        <v>2</v>
      </c>
      <c r="L14" s="23">
        <v>2</v>
      </c>
      <c r="M14" s="21">
        <f t="shared" si="0"/>
        <v>8</v>
      </c>
      <c r="N14" s="23">
        <v>3</v>
      </c>
      <c r="O14" s="24">
        <f t="shared" si="1"/>
        <v>24</v>
      </c>
      <c r="P14" s="25" t="str">
        <f t="shared" si="2"/>
        <v>Importante</v>
      </c>
      <c r="Q14" s="25" t="str">
        <f t="shared" si="3"/>
        <v>SÍ</v>
      </c>
      <c r="R14" s="26" t="s">
        <v>83</v>
      </c>
      <c r="S14" s="22" t="s">
        <v>84</v>
      </c>
      <c r="T14" s="23">
        <v>3</v>
      </c>
      <c r="U14" s="23">
        <v>1</v>
      </c>
      <c r="V14" s="23">
        <v>1</v>
      </c>
      <c r="W14" s="23">
        <v>3</v>
      </c>
      <c r="X14" s="21">
        <f t="shared" si="4"/>
        <v>8</v>
      </c>
      <c r="Y14" s="23">
        <v>3</v>
      </c>
      <c r="Z14" s="24">
        <f t="shared" si="5"/>
        <v>24</v>
      </c>
      <c r="AA14" s="25" t="str">
        <f t="shared" si="6"/>
        <v>Importante</v>
      </c>
      <c r="AB14" s="25" t="str">
        <f t="shared" si="7"/>
        <v>SÍ</v>
      </c>
      <c r="AC14" s="26" t="s">
        <v>85</v>
      </c>
      <c r="AD14" s="27"/>
      <c r="AE14" s="27"/>
      <c r="AF14" s="27"/>
      <c r="AG14" s="27"/>
      <c r="AH14" s="27"/>
      <c r="AI14" s="27"/>
      <c r="AJ14" s="27"/>
    </row>
    <row r="15" spans="1:36" ht="51.75" customHeight="1" x14ac:dyDescent="0.3">
      <c r="A15" s="95"/>
      <c r="B15" s="117" t="s">
        <v>86</v>
      </c>
      <c r="C15" s="95"/>
      <c r="D15" s="95"/>
      <c r="E15" s="20" t="s">
        <v>27</v>
      </c>
      <c r="F15" s="20"/>
      <c r="G15" s="23" t="s">
        <v>87</v>
      </c>
      <c r="H15" s="22" t="s">
        <v>88</v>
      </c>
      <c r="I15" s="23">
        <v>3</v>
      </c>
      <c r="J15" s="23">
        <v>2</v>
      </c>
      <c r="K15" s="23">
        <v>1</v>
      </c>
      <c r="L15" s="23">
        <v>3</v>
      </c>
      <c r="M15" s="21">
        <f t="shared" si="0"/>
        <v>9</v>
      </c>
      <c r="N15" s="23">
        <v>1</v>
      </c>
      <c r="O15" s="24">
        <f t="shared" si="1"/>
        <v>9</v>
      </c>
      <c r="P15" s="25" t="str">
        <f t="shared" si="2"/>
        <v>Moderado</v>
      </c>
      <c r="Q15" s="25" t="str">
        <f t="shared" si="3"/>
        <v>NO</v>
      </c>
      <c r="R15" s="26" t="s">
        <v>89</v>
      </c>
      <c r="S15" s="22" t="s">
        <v>90</v>
      </c>
      <c r="T15" s="23">
        <v>3</v>
      </c>
      <c r="U15" s="23">
        <v>1</v>
      </c>
      <c r="V15" s="23">
        <v>1</v>
      </c>
      <c r="W15" s="23">
        <v>3</v>
      </c>
      <c r="X15" s="21">
        <f t="shared" si="4"/>
        <v>8</v>
      </c>
      <c r="Y15" s="23">
        <v>1</v>
      </c>
      <c r="Z15" s="24">
        <f t="shared" si="5"/>
        <v>8</v>
      </c>
      <c r="AA15" s="25" t="str">
        <f t="shared" si="6"/>
        <v>Tolerable</v>
      </c>
      <c r="AB15" s="25" t="str">
        <f t="shared" si="7"/>
        <v>NO</v>
      </c>
      <c r="AC15" s="26" t="s">
        <v>32</v>
      </c>
      <c r="AD15" s="27"/>
      <c r="AE15" s="27"/>
      <c r="AF15" s="27"/>
      <c r="AG15" s="27"/>
      <c r="AH15" s="27"/>
      <c r="AI15" s="27"/>
      <c r="AJ15" s="27"/>
    </row>
    <row r="16" spans="1:36" ht="32.25" customHeight="1" x14ac:dyDescent="0.3">
      <c r="A16" s="95"/>
      <c r="B16" s="95"/>
      <c r="C16" s="95"/>
      <c r="D16" s="95"/>
      <c r="E16" s="20" t="s">
        <v>27</v>
      </c>
      <c r="F16" s="20"/>
      <c r="G16" s="23" t="s">
        <v>91</v>
      </c>
      <c r="H16" s="22" t="s">
        <v>92</v>
      </c>
      <c r="I16" s="23">
        <v>3</v>
      </c>
      <c r="J16" s="23">
        <v>1</v>
      </c>
      <c r="K16" s="23">
        <v>1</v>
      </c>
      <c r="L16" s="23">
        <v>3</v>
      </c>
      <c r="M16" s="21">
        <f t="shared" si="0"/>
        <v>8</v>
      </c>
      <c r="N16" s="23">
        <v>1</v>
      </c>
      <c r="O16" s="24">
        <f t="shared" si="1"/>
        <v>8</v>
      </c>
      <c r="P16" s="25" t="str">
        <f t="shared" si="2"/>
        <v>Tolerable</v>
      </c>
      <c r="Q16" s="25" t="str">
        <f t="shared" si="3"/>
        <v>NO</v>
      </c>
      <c r="R16" s="26" t="s">
        <v>93</v>
      </c>
      <c r="S16" s="22" t="s">
        <v>36</v>
      </c>
      <c r="T16" s="23">
        <v>3</v>
      </c>
      <c r="U16" s="23">
        <v>1</v>
      </c>
      <c r="V16" s="23">
        <v>1</v>
      </c>
      <c r="W16" s="23">
        <v>3</v>
      </c>
      <c r="X16" s="21">
        <f t="shared" si="4"/>
        <v>8</v>
      </c>
      <c r="Y16" s="23">
        <v>1</v>
      </c>
      <c r="Z16" s="24">
        <f t="shared" si="5"/>
        <v>8</v>
      </c>
      <c r="AA16" s="25" t="str">
        <f t="shared" si="6"/>
        <v>Tolerable</v>
      </c>
      <c r="AB16" s="25" t="str">
        <f t="shared" si="7"/>
        <v>NO</v>
      </c>
      <c r="AC16" s="26" t="s">
        <v>94</v>
      </c>
      <c r="AD16" s="27"/>
      <c r="AE16" s="27"/>
      <c r="AF16" s="27"/>
      <c r="AG16" s="27"/>
      <c r="AH16" s="27"/>
      <c r="AI16" s="27"/>
      <c r="AJ16" s="27"/>
    </row>
    <row r="17" spans="1:36" ht="72" customHeight="1" x14ac:dyDescent="0.3">
      <c r="A17" s="95"/>
      <c r="B17" s="95"/>
      <c r="C17" s="95"/>
      <c r="D17" s="95"/>
      <c r="E17" s="20" t="s">
        <v>27</v>
      </c>
      <c r="F17" s="20"/>
      <c r="G17" s="23" t="s">
        <v>95</v>
      </c>
      <c r="H17" s="39" t="s">
        <v>96</v>
      </c>
      <c r="I17" s="23">
        <v>3</v>
      </c>
      <c r="J17" s="23">
        <v>1</v>
      </c>
      <c r="K17" s="23">
        <v>1</v>
      </c>
      <c r="L17" s="23">
        <v>3</v>
      </c>
      <c r="M17" s="21">
        <f t="shared" si="0"/>
        <v>8</v>
      </c>
      <c r="N17" s="23">
        <v>1</v>
      </c>
      <c r="O17" s="24">
        <f t="shared" si="1"/>
        <v>8</v>
      </c>
      <c r="P17" s="25" t="str">
        <f t="shared" si="2"/>
        <v>Tolerable</v>
      </c>
      <c r="Q17" s="25" t="str">
        <f t="shared" si="3"/>
        <v>NO</v>
      </c>
      <c r="R17" s="26" t="s">
        <v>97</v>
      </c>
      <c r="S17" s="22" t="s">
        <v>36</v>
      </c>
      <c r="T17" s="23">
        <v>3</v>
      </c>
      <c r="U17" s="23">
        <v>1</v>
      </c>
      <c r="V17" s="23">
        <v>1</v>
      </c>
      <c r="W17" s="23">
        <v>3</v>
      </c>
      <c r="X17" s="21">
        <f t="shared" si="4"/>
        <v>8</v>
      </c>
      <c r="Y17" s="23">
        <v>1</v>
      </c>
      <c r="Z17" s="24">
        <f t="shared" si="5"/>
        <v>8</v>
      </c>
      <c r="AA17" s="25" t="str">
        <f t="shared" si="6"/>
        <v>Tolerable</v>
      </c>
      <c r="AB17" s="25" t="str">
        <f t="shared" si="7"/>
        <v>NO</v>
      </c>
      <c r="AC17" s="26" t="s">
        <v>32</v>
      </c>
      <c r="AD17" s="27"/>
      <c r="AE17" s="27"/>
      <c r="AF17" s="27"/>
      <c r="AG17" s="27"/>
      <c r="AH17" s="27"/>
      <c r="AI17" s="27"/>
      <c r="AJ17" s="27"/>
    </row>
    <row r="18" spans="1:36" ht="48.75" customHeight="1" x14ac:dyDescent="0.3">
      <c r="A18" s="95"/>
      <c r="B18" s="95"/>
      <c r="C18" s="95"/>
      <c r="D18" s="95"/>
      <c r="E18" s="20" t="s">
        <v>27</v>
      </c>
      <c r="F18" s="20"/>
      <c r="G18" s="23" t="s">
        <v>98</v>
      </c>
      <c r="H18" s="22" t="s">
        <v>99</v>
      </c>
      <c r="I18" s="23">
        <v>3</v>
      </c>
      <c r="J18" s="23">
        <v>1</v>
      </c>
      <c r="K18" s="23">
        <v>1</v>
      </c>
      <c r="L18" s="23">
        <v>3</v>
      </c>
      <c r="M18" s="21">
        <f t="shared" si="0"/>
        <v>8</v>
      </c>
      <c r="N18" s="23">
        <v>2</v>
      </c>
      <c r="O18" s="24">
        <f t="shared" si="1"/>
        <v>16</v>
      </c>
      <c r="P18" s="25" t="str">
        <f t="shared" si="2"/>
        <v>Moderado</v>
      </c>
      <c r="Q18" s="25" t="str">
        <f t="shared" si="3"/>
        <v>NO</v>
      </c>
      <c r="R18" s="30" t="s">
        <v>100</v>
      </c>
      <c r="S18" s="22" t="s">
        <v>36</v>
      </c>
      <c r="T18" s="23">
        <v>3</v>
      </c>
      <c r="U18" s="23">
        <v>1</v>
      </c>
      <c r="V18" s="23">
        <v>1</v>
      </c>
      <c r="W18" s="23">
        <v>3</v>
      </c>
      <c r="X18" s="21">
        <f t="shared" si="4"/>
        <v>8</v>
      </c>
      <c r="Y18" s="23">
        <v>2</v>
      </c>
      <c r="Z18" s="24">
        <f t="shared" si="5"/>
        <v>16</v>
      </c>
      <c r="AA18" s="25" t="str">
        <f t="shared" si="6"/>
        <v>Moderado</v>
      </c>
      <c r="AB18" s="25" t="str">
        <f t="shared" si="7"/>
        <v>NO</v>
      </c>
      <c r="AC18" s="26" t="s">
        <v>32</v>
      </c>
      <c r="AD18" s="27"/>
      <c r="AE18" s="27"/>
      <c r="AF18" s="27"/>
      <c r="AG18" s="27"/>
      <c r="AH18" s="27"/>
      <c r="AI18" s="27"/>
      <c r="AJ18" s="27"/>
    </row>
    <row r="19" spans="1:36" ht="69.75" customHeight="1" x14ac:dyDescent="0.3">
      <c r="A19" s="95"/>
      <c r="B19" s="95"/>
      <c r="C19" s="95"/>
      <c r="D19" s="95"/>
      <c r="E19" s="20" t="s">
        <v>27</v>
      </c>
      <c r="F19" s="20"/>
      <c r="G19" s="21" t="s">
        <v>101</v>
      </c>
      <c r="H19" s="21" t="s">
        <v>102</v>
      </c>
      <c r="I19" s="23">
        <v>3</v>
      </c>
      <c r="J19" s="23">
        <v>1</v>
      </c>
      <c r="K19" s="23">
        <v>2</v>
      </c>
      <c r="L19" s="23">
        <v>3</v>
      </c>
      <c r="M19" s="21">
        <f t="shared" si="0"/>
        <v>9</v>
      </c>
      <c r="N19" s="23">
        <v>2</v>
      </c>
      <c r="O19" s="24">
        <f t="shared" si="1"/>
        <v>18</v>
      </c>
      <c r="P19" s="25" t="str">
        <f t="shared" si="2"/>
        <v>Importante</v>
      </c>
      <c r="Q19" s="25" t="str">
        <f t="shared" si="3"/>
        <v>SÍ</v>
      </c>
      <c r="R19" s="26" t="s">
        <v>103</v>
      </c>
      <c r="S19" s="22" t="s">
        <v>104</v>
      </c>
      <c r="T19" s="23">
        <v>3</v>
      </c>
      <c r="U19" s="23">
        <v>1</v>
      </c>
      <c r="V19" s="23">
        <v>1</v>
      </c>
      <c r="W19" s="23">
        <v>3</v>
      </c>
      <c r="X19" s="21">
        <f t="shared" si="4"/>
        <v>8</v>
      </c>
      <c r="Y19" s="23">
        <v>2</v>
      </c>
      <c r="Z19" s="24">
        <f t="shared" si="5"/>
        <v>16</v>
      </c>
      <c r="AA19" s="25" t="str">
        <f t="shared" si="6"/>
        <v>Moderado</v>
      </c>
      <c r="AB19" s="25" t="str">
        <f t="shared" si="7"/>
        <v>NO</v>
      </c>
      <c r="AC19" s="26" t="s">
        <v>105</v>
      </c>
      <c r="AD19" s="27"/>
      <c r="AE19" s="27"/>
      <c r="AF19" s="27"/>
      <c r="AG19" s="27"/>
      <c r="AH19" s="27"/>
      <c r="AI19" s="27"/>
      <c r="AJ19" s="27"/>
    </row>
    <row r="20" spans="1:36" ht="31.5" customHeight="1" x14ac:dyDescent="0.3">
      <c r="A20" s="95"/>
      <c r="B20" s="95"/>
      <c r="C20" s="95"/>
      <c r="D20" s="95"/>
      <c r="E20" s="20" t="s">
        <v>27</v>
      </c>
      <c r="F20" s="20"/>
      <c r="G20" s="21" t="s">
        <v>106</v>
      </c>
      <c r="H20" s="21" t="s">
        <v>107</v>
      </c>
      <c r="I20" s="23">
        <v>3</v>
      </c>
      <c r="J20" s="23">
        <v>1</v>
      </c>
      <c r="K20" s="23">
        <v>1</v>
      </c>
      <c r="L20" s="23">
        <v>3</v>
      </c>
      <c r="M20" s="21">
        <f t="shared" si="0"/>
        <v>8</v>
      </c>
      <c r="N20" s="23">
        <v>2</v>
      </c>
      <c r="O20" s="24">
        <f t="shared" si="1"/>
        <v>16</v>
      </c>
      <c r="P20" s="25" t="str">
        <f t="shared" si="2"/>
        <v>Moderado</v>
      </c>
      <c r="Q20" s="25" t="str">
        <f t="shared" si="3"/>
        <v>NO</v>
      </c>
      <c r="R20" s="26" t="s">
        <v>108</v>
      </c>
      <c r="S20" s="22" t="s">
        <v>36</v>
      </c>
      <c r="T20" s="23">
        <v>3</v>
      </c>
      <c r="U20" s="23">
        <v>1</v>
      </c>
      <c r="V20" s="23">
        <v>1</v>
      </c>
      <c r="W20" s="23">
        <v>3</v>
      </c>
      <c r="X20" s="21">
        <f t="shared" si="4"/>
        <v>8</v>
      </c>
      <c r="Y20" s="23">
        <v>2</v>
      </c>
      <c r="Z20" s="24">
        <f t="shared" si="5"/>
        <v>16</v>
      </c>
      <c r="AA20" s="25" t="str">
        <f t="shared" si="6"/>
        <v>Moderado</v>
      </c>
      <c r="AB20" s="25" t="str">
        <f t="shared" si="7"/>
        <v>NO</v>
      </c>
      <c r="AC20" s="26" t="s">
        <v>32</v>
      </c>
      <c r="AD20" s="27"/>
      <c r="AE20" s="27"/>
      <c r="AF20" s="27"/>
      <c r="AG20" s="27"/>
      <c r="AH20" s="27"/>
      <c r="AI20" s="27"/>
      <c r="AJ20" s="27"/>
    </row>
    <row r="21" spans="1:36" ht="59.25" customHeight="1" x14ac:dyDescent="0.3">
      <c r="A21" s="95"/>
      <c r="B21" s="95"/>
      <c r="C21" s="95"/>
      <c r="D21" s="95"/>
      <c r="E21" s="20" t="s">
        <v>27</v>
      </c>
      <c r="F21" s="20"/>
      <c r="G21" s="21" t="s">
        <v>38</v>
      </c>
      <c r="H21" s="21" t="s">
        <v>39</v>
      </c>
      <c r="I21" s="23">
        <v>3</v>
      </c>
      <c r="J21" s="23">
        <v>1</v>
      </c>
      <c r="K21" s="23">
        <v>1</v>
      </c>
      <c r="L21" s="23">
        <v>3</v>
      </c>
      <c r="M21" s="21">
        <f t="shared" si="0"/>
        <v>8</v>
      </c>
      <c r="N21" s="23">
        <v>1</v>
      </c>
      <c r="O21" s="24">
        <f t="shared" si="1"/>
        <v>8</v>
      </c>
      <c r="P21" s="25" t="str">
        <f t="shared" si="2"/>
        <v>Tolerable</v>
      </c>
      <c r="Q21" s="25" t="str">
        <f t="shared" si="3"/>
        <v>NO</v>
      </c>
      <c r="R21" s="26" t="s">
        <v>109</v>
      </c>
      <c r="S21" s="22" t="s">
        <v>110</v>
      </c>
      <c r="T21" s="23">
        <v>3</v>
      </c>
      <c r="U21" s="23">
        <v>1</v>
      </c>
      <c r="V21" s="23">
        <v>1</v>
      </c>
      <c r="W21" s="23">
        <v>3</v>
      </c>
      <c r="X21" s="21">
        <f t="shared" si="4"/>
        <v>8</v>
      </c>
      <c r="Y21" s="23">
        <v>1</v>
      </c>
      <c r="Z21" s="24">
        <f t="shared" si="5"/>
        <v>8</v>
      </c>
      <c r="AA21" s="25" t="str">
        <f t="shared" si="6"/>
        <v>Tolerable</v>
      </c>
      <c r="AB21" s="25" t="str">
        <f t="shared" si="7"/>
        <v>NO</v>
      </c>
      <c r="AC21" s="26" t="s">
        <v>111</v>
      </c>
      <c r="AD21" s="27"/>
      <c r="AE21" s="27"/>
      <c r="AF21" s="27"/>
      <c r="AG21" s="27"/>
      <c r="AH21" s="27"/>
      <c r="AI21" s="27"/>
      <c r="AJ21" s="27"/>
    </row>
    <row r="22" spans="1:36" ht="49.5" customHeight="1" x14ac:dyDescent="0.3">
      <c r="A22" s="95"/>
      <c r="B22" s="95"/>
      <c r="C22" s="95"/>
      <c r="D22" s="95"/>
      <c r="E22" s="20" t="s">
        <v>27</v>
      </c>
      <c r="F22" s="20"/>
      <c r="G22" s="22" t="s">
        <v>112</v>
      </c>
      <c r="H22" s="22" t="s">
        <v>113</v>
      </c>
      <c r="I22" s="23">
        <v>3</v>
      </c>
      <c r="J22" s="23">
        <v>1</v>
      </c>
      <c r="K22" s="23">
        <v>1</v>
      </c>
      <c r="L22" s="23">
        <v>3</v>
      </c>
      <c r="M22" s="21">
        <f t="shared" si="0"/>
        <v>8</v>
      </c>
      <c r="N22" s="23">
        <v>2</v>
      </c>
      <c r="O22" s="24">
        <f t="shared" si="1"/>
        <v>16</v>
      </c>
      <c r="P22" s="25" t="str">
        <f t="shared" si="2"/>
        <v>Moderado</v>
      </c>
      <c r="Q22" s="25" t="str">
        <f t="shared" si="3"/>
        <v>NO</v>
      </c>
      <c r="R22" s="26" t="s">
        <v>114</v>
      </c>
      <c r="S22" s="22" t="s">
        <v>36</v>
      </c>
      <c r="T22" s="23">
        <v>3</v>
      </c>
      <c r="U22" s="23">
        <v>1</v>
      </c>
      <c r="V22" s="23">
        <v>1</v>
      </c>
      <c r="W22" s="23">
        <v>3</v>
      </c>
      <c r="X22" s="21">
        <f t="shared" si="4"/>
        <v>8</v>
      </c>
      <c r="Y22" s="23">
        <v>2</v>
      </c>
      <c r="Z22" s="24">
        <f t="shared" si="5"/>
        <v>16</v>
      </c>
      <c r="AA22" s="25" t="str">
        <f t="shared" si="6"/>
        <v>Moderado</v>
      </c>
      <c r="AB22" s="25" t="str">
        <f t="shared" si="7"/>
        <v>NO</v>
      </c>
      <c r="AC22" s="26" t="s">
        <v>32</v>
      </c>
      <c r="AD22" s="27"/>
      <c r="AE22" s="27"/>
      <c r="AF22" s="27"/>
      <c r="AG22" s="27"/>
      <c r="AH22" s="27"/>
      <c r="AI22" s="27"/>
      <c r="AJ22" s="27"/>
    </row>
    <row r="23" spans="1:36" ht="72" customHeight="1" x14ac:dyDescent="0.3">
      <c r="A23" s="95"/>
      <c r="B23" s="95"/>
      <c r="C23" s="95"/>
      <c r="D23" s="95"/>
      <c r="E23" s="20" t="s">
        <v>27</v>
      </c>
      <c r="F23" s="20"/>
      <c r="G23" s="22" t="s">
        <v>60</v>
      </c>
      <c r="H23" s="22" t="s">
        <v>61</v>
      </c>
      <c r="I23" s="23">
        <v>3</v>
      </c>
      <c r="J23" s="23">
        <v>1</v>
      </c>
      <c r="K23" s="23">
        <v>1</v>
      </c>
      <c r="L23" s="23">
        <v>3</v>
      </c>
      <c r="M23" s="21">
        <f t="shared" si="0"/>
        <v>8</v>
      </c>
      <c r="N23" s="23">
        <v>2</v>
      </c>
      <c r="O23" s="24">
        <f t="shared" si="1"/>
        <v>16</v>
      </c>
      <c r="P23" s="25" t="str">
        <f t="shared" si="2"/>
        <v>Moderado</v>
      </c>
      <c r="Q23" s="25" t="str">
        <f t="shared" si="3"/>
        <v>NO</v>
      </c>
      <c r="R23" s="26" t="s">
        <v>115</v>
      </c>
      <c r="S23" s="22" t="s">
        <v>63</v>
      </c>
      <c r="T23" s="23">
        <v>3</v>
      </c>
      <c r="U23" s="23">
        <v>1</v>
      </c>
      <c r="V23" s="23">
        <v>1</v>
      </c>
      <c r="W23" s="23">
        <v>3</v>
      </c>
      <c r="X23" s="21">
        <f t="shared" si="4"/>
        <v>8</v>
      </c>
      <c r="Y23" s="23">
        <v>2</v>
      </c>
      <c r="Z23" s="24">
        <f t="shared" si="5"/>
        <v>16</v>
      </c>
      <c r="AA23" s="25" t="str">
        <f t="shared" si="6"/>
        <v>Moderado</v>
      </c>
      <c r="AB23" s="25" t="str">
        <f t="shared" si="7"/>
        <v>NO</v>
      </c>
      <c r="AC23" s="26" t="s">
        <v>116</v>
      </c>
      <c r="AD23" s="27"/>
      <c r="AE23" s="27"/>
      <c r="AF23" s="27"/>
      <c r="AG23" s="27"/>
      <c r="AH23" s="27"/>
      <c r="AI23" s="27"/>
      <c r="AJ23" s="27"/>
    </row>
    <row r="24" spans="1:36" ht="63" customHeight="1" x14ac:dyDescent="0.3">
      <c r="A24" s="95"/>
      <c r="B24" s="95"/>
      <c r="C24" s="95"/>
      <c r="D24" s="95"/>
      <c r="E24" s="20" t="s">
        <v>27</v>
      </c>
      <c r="F24" s="20"/>
      <c r="G24" s="22" t="s">
        <v>33</v>
      </c>
      <c r="H24" s="22" t="s">
        <v>117</v>
      </c>
      <c r="I24" s="23">
        <v>3</v>
      </c>
      <c r="J24" s="23">
        <v>2</v>
      </c>
      <c r="K24" s="23">
        <v>2</v>
      </c>
      <c r="L24" s="23">
        <v>3</v>
      </c>
      <c r="M24" s="21">
        <f t="shared" si="0"/>
        <v>10</v>
      </c>
      <c r="N24" s="23">
        <v>2</v>
      </c>
      <c r="O24" s="24">
        <f t="shared" si="1"/>
        <v>20</v>
      </c>
      <c r="P24" s="25" t="str">
        <f t="shared" si="2"/>
        <v>Importante</v>
      </c>
      <c r="Q24" s="25" t="str">
        <f t="shared" si="3"/>
        <v>SÍ</v>
      </c>
      <c r="R24" s="26" t="s">
        <v>118</v>
      </c>
      <c r="S24" s="22" t="s">
        <v>36</v>
      </c>
      <c r="T24" s="23">
        <v>3</v>
      </c>
      <c r="U24" s="23">
        <v>1</v>
      </c>
      <c r="V24" s="23">
        <v>1</v>
      </c>
      <c r="W24" s="21">
        <v>3</v>
      </c>
      <c r="X24" s="21">
        <f t="shared" si="4"/>
        <v>8</v>
      </c>
      <c r="Y24" s="23">
        <v>1</v>
      </c>
      <c r="Z24" s="24">
        <f t="shared" si="5"/>
        <v>8</v>
      </c>
      <c r="AA24" s="25" t="str">
        <f t="shared" si="6"/>
        <v>Tolerable</v>
      </c>
      <c r="AB24" s="25" t="str">
        <f t="shared" si="7"/>
        <v>NO</v>
      </c>
      <c r="AC24" s="26" t="s">
        <v>32</v>
      </c>
      <c r="AD24" s="27"/>
      <c r="AE24" s="27"/>
      <c r="AF24" s="27"/>
      <c r="AG24" s="27"/>
      <c r="AH24" s="27"/>
      <c r="AI24" s="27"/>
      <c r="AJ24" s="27"/>
    </row>
    <row r="25" spans="1:36" ht="79.5" customHeight="1" x14ac:dyDescent="0.3">
      <c r="A25" s="95"/>
      <c r="B25" s="95"/>
      <c r="C25" s="95"/>
      <c r="D25" s="95"/>
      <c r="E25" s="20" t="s">
        <v>27</v>
      </c>
      <c r="F25" s="20"/>
      <c r="G25" s="21" t="s">
        <v>28</v>
      </c>
      <c r="H25" s="22" t="s">
        <v>29</v>
      </c>
      <c r="I25" s="23">
        <v>3</v>
      </c>
      <c r="J25" s="23">
        <v>2</v>
      </c>
      <c r="K25" s="23">
        <v>1</v>
      </c>
      <c r="L25" s="23">
        <v>3</v>
      </c>
      <c r="M25" s="21">
        <f t="shared" si="0"/>
        <v>9</v>
      </c>
      <c r="N25" s="23">
        <v>1</v>
      </c>
      <c r="O25" s="24">
        <f t="shared" si="1"/>
        <v>9</v>
      </c>
      <c r="P25" s="25" t="str">
        <f t="shared" si="2"/>
        <v>Moderado</v>
      </c>
      <c r="Q25" s="25" t="str">
        <f t="shared" si="3"/>
        <v>NO</v>
      </c>
      <c r="R25" s="37" t="s">
        <v>119</v>
      </c>
      <c r="S25" s="22" t="s">
        <v>31</v>
      </c>
      <c r="T25" s="23">
        <v>3</v>
      </c>
      <c r="U25" s="23">
        <v>1</v>
      </c>
      <c r="V25" s="23">
        <v>1</v>
      </c>
      <c r="W25" s="21">
        <v>3</v>
      </c>
      <c r="X25" s="21">
        <f t="shared" si="4"/>
        <v>8</v>
      </c>
      <c r="Y25" s="23">
        <v>1</v>
      </c>
      <c r="Z25" s="24">
        <f t="shared" si="5"/>
        <v>8</v>
      </c>
      <c r="AA25" s="25" t="str">
        <f t="shared" si="6"/>
        <v>Tolerable</v>
      </c>
      <c r="AB25" s="25" t="str">
        <f t="shared" si="7"/>
        <v>NO</v>
      </c>
      <c r="AC25" s="26" t="s">
        <v>32</v>
      </c>
      <c r="AD25" s="27"/>
      <c r="AE25" s="27"/>
      <c r="AF25" s="27"/>
      <c r="AG25" s="27"/>
      <c r="AH25" s="27"/>
      <c r="AI25" s="27"/>
      <c r="AJ25" s="27"/>
    </row>
    <row r="26" spans="1:36" ht="90.75" customHeight="1" x14ac:dyDescent="0.3">
      <c r="A26" s="95"/>
      <c r="B26" s="95"/>
      <c r="C26" s="95"/>
      <c r="D26" s="95"/>
      <c r="E26" s="28" t="s">
        <v>27</v>
      </c>
      <c r="F26" s="28"/>
      <c r="G26" s="21" t="s">
        <v>120</v>
      </c>
      <c r="H26" s="21" t="s">
        <v>121</v>
      </c>
      <c r="I26" s="23">
        <v>3</v>
      </c>
      <c r="J26" s="23">
        <v>1</v>
      </c>
      <c r="K26" s="23">
        <v>1</v>
      </c>
      <c r="L26" s="23">
        <v>3</v>
      </c>
      <c r="M26" s="21">
        <f t="shared" si="0"/>
        <v>8</v>
      </c>
      <c r="N26" s="23">
        <v>1</v>
      </c>
      <c r="O26" s="24">
        <f t="shared" si="1"/>
        <v>8</v>
      </c>
      <c r="P26" s="25" t="str">
        <f t="shared" si="2"/>
        <v>Tolerable</v>
      </c>
      <c r="Q26" s="25" t="str">
        <f t="shared" si="3"/>
        <v>NO</v>
      </c>
      <c r="R26" s="26" t="s">
        <v>122</v>
      </c>
      <c r="S26" s="22" t="s">
        <v>45</v>
      </c>
      <c r="T26" s="23">
        <v>3</v>
      </c>
      <c r="U26" s="23">
        <v>1</v>
      </c>
      <c r="V26" s="23">
        <v>1</v>
      </c>
      <c r="W26" s="21">
        <v>3</v>
      </c>
      <c r="X26" s="21">
        <f t="shared" si="4"/>
        <v>8</v>
      </c>
      <c r="Y26" s="23">
        <v>1</v>
      </c>
      <c r="Z26" s="24">
        <f t="shared" si="5"/>
        <v>8</v>
      </c>
      <c r="AA26" s="25" t="str">
        <f t="shared" si="6"/>
        <v>Tolerable</v>
      </c>
      <c r="AB26" s="25" t="str">
        <f t="shared" si="7"/>
        <v>NO</v>
      </c>
      <c r="AC26" s="26" t="s">
        <v>123</v>
      </c>
      <c r="AD26" s="27"/>
      <c r="AE26" s="27"/>
      <c r="AF26" s="27"/>
      <c r="AG26" s="27"/>
      <c r="AH26" s="27"/>
      <c r="AI26" s="27"/>
      <c r="AJ26" s="27"/>
    </row>
    <row r="27" spans="1:36" ht="73.5" customHeight="1" x14ac:dyDescent="0.3">
      <c r="A27" s="95"/>
      <c r="B27" s="95"/>
      <c r="C27" s="95"/>
      <c r="D27" s="95"/>
      <c r="E27" s="28" t="s">
        <v>27</v>
      </c>
      <c r="F27" s="28"/>
      <c r="G27" s="21" t="s">
        <v>124</v>
      </c>
      <c r="H27" s="21" t="s">
        <v>125</v>
      </c>
      <c r="I27" s="23">
        <v>3</v>
      </c>
      <c r="J27" s="23">
        <v>2</v>
      </c>
      <c r="K27" s="23">
        <v>2</v>
      </c>
      <c r="L27" s="23">
        <v>3</v>
      </c>
      <c r="M27" s="21">
        <f t="shared" si="0"/>
        <v>10</v>
      </c>
      <c r="N27" s="23">
        <v>1</v>
      </c>
      <c r="O27" s="24">
        <f t="shared" si="1"/>
        <v>10</v>
      </c>
      <c r="P27" s="25" t="str">
        <f t="shared" si="2"/>
        <v>Moderado</v>
      </c>
      <c r="Q27" s="25" t="str">
        <f t="shared" si="3"/>
        <v>NO</v>
      </c>
      <c r="R27" s="29" t="s">
        <v>126</v>
      </c>
      <c r="S27" s="22" t="s">
        <v>127</v>
      </c>
      <c r="T27" s="23">
        <v>3</v>
      </c>
      <c r="U27" s="23">
        <v>1</v>
      </c>
      <c r="V27" s="23">
        <v>1</v>
      </c>
      <c r="W27" s="21">
        <v>3</v>
      </c>
      <c r="X27" s="21">
        <f t="shared" si="4"/>
        <v>8</v>
      </c>
      <c r="Y27" s="23">
        <v>1</v>
      </c>
      <c r="Z27" s="24">
        <f t="shared" si="5"/>
        <v>8</v>
      </c>
      <c r="AA27" s="25" t="str">
        <f t="shared" si="6"/>
        <v>Tolerable</v>
      </c>
      <c r="AB27" s="25" t="str">
        <f t="shared" si="7"/>
        <v>NO</v>
      </c>
      <c r="AC27" s="26" t="s">
        <v>32</v>
      </c>
      <c r="AD27" s="27"/>
      <c r="AE27" s="27"/>
      <c r="AF27" s="27"/>
      <c r="AG27" s="27"/>
      <c r="AH27" s="27"/>
      <c r="AI27" s="27"/>
      <c r="AJ27" s="27"/>
    </row>
    <row r="28" spans="1:36" ht="73.5" customHeight="1" x14ac:dyDescent="0.3">
      <c r="A28" s="95"/>
      <c r="B28" s="95"/>
      <c r="C28" s="95"/>
      <c r="D28" s="95"/>
      <c r="E28" s="28" t="s">
        <v>27</v>
      </c>
      <c r="F28" s="28"/>
      <c r="G28" s="21" t="s">
        <v>128</v>
      </c>
      <c r="H28" s="21" t="s">
        <v>129</v>
      </c>
      <c r="I28" s="23">
        <v>1</v>
      </c>
      <c r="J28" s="23">
        <v>1</v>
      </c>
      <c r="K28" s="23">
        <v>2</v>
      </c>
      <c r="L28" s="23">
        <v>2</v>
      </c>
      <c r="M28" s="21">
        <f t="shared" si="0"/>
        <v>6</v>
      </c>
      <c r="N28" s="23">
        <v>2</v>
      </c>
      <c r="O28" s="24">
        <f t="shared" si="1"/>
        <v>12</v>
      </c>
      <c r="P28" s="25" t="str">
        <f t="shared" si="2"/>
        <v>Moderado</v>
      </c>
      <c r="Q28" s="25" t="str">
        <f t="shared" si="3"/>
        <v>NO</v>
      </c>
      <c r="R28" s="29" t="s">
        <v>130</v>
      </c>
      <c r="S28" s="22" t="s">
        <v>131</v>
      </c>
      <c r="T28" s="23">
        <v>1</v>
      </c>
      <c r="U28" s="23">
        <v>1</v>
      </c>
      <c r="V28" s="23">
        <v>1</v>
      </c>
      <c r="W28" s="21">
        <v>2</v>
      </c>
      <c r="X28" s="21">
        <f t="shared" si="4"/>
        <v>5</v>
      </c>
      <c r="Y28" s="23">
        <v>1</v>
      </c>
      <c r="Z28" s="24">
        <f t="shared" si="5"/>
        <v>5</v>
      </c>
      <c r="AA28" s="25" t="str">
        <f t="shared" si="6"/>
        <v>Tolerable</v>
      </c>
      <c r="AB28" s="25" t="str">
        <f t="shared" si="7"/>
        <v>NO</v>
      </c>
      <c r="AC28" s="26" t="s">
        <v>80</v>
      </c>
      <c r="AD28" s="27"/>
      <c r="AE28" s="27"/>
      <c r="AF28" s="27"/>
      <c r="AG28" s="27"/>
      <c r="AH28" s="27"/>
      <c r="AI28" s="27"/>
      <c r="AJ28" s="27"/>
    </row>
    <row r="29" spans="1:36" ht="73.5" customHeight="1" x14ac:dyDescent="0.3">
      <c r="A29" s="95"/>
      <c r="B29" s="95"/>
      <c r="C29" s="95"/>
      <c r="D29" s="95"/>
      <c r="E29" s="28" t="s">
        <v>27</v>
      </c>
      <c r="F29" s="28"/>
      <c r="G29" s="21" t="s">
        <v>132</v>
      </c>
      <c r="H29" s="21" t="s">
        <v>133</v>
      </c>
      <c r="I29" s="23">
        <v>1</v>
      </c>
      <c r="J29" s="23">
        <v>1</v>
      </c>
      <c r="K29" s="23">
        <v>2</v>
      </c>
      <c r="L29" s="23">
        <v>2</v>
      </c>
      <c r="M29" s="21">
        <f t="shared" si="0"/>
        <v>6</v>
      </c>
      <c r="N29" s="23">
        <v>3</v>
      </c>
      <c r="O29" s="24">
        <f t="shared" si="1"/>
        <v>18</v>
      </c>
      <c r="P29" s="25" t="str">
        <f t="shared" si="2"/>
        <v>Importante</v>
      </c>
      <c r="Q29" s="25" t="str">
        <f t="shared" si="3"/>
        <v>SÍ</v>
      </c>
      <c r="R29" s="29" t="s">
        <v>134</v>
      </c>
      <c r="S29" s="22" t="s">
        <v>135</v>
      </c>
      <c r="T29" s="23">
        <v>1</v>
      </c>
      <c r="U29" s="23">
        <v>1</v>
      </c>
      <c r="V29" s="23">
        <v>1</v>
      </c>
      <c r="W29" s="21">
        <v>2</v>
      </c>
      <c r="X29" s="21">
        <f t="shared" si="4"/>
        <v>5</v>
      </c>
      <c r="Y29" s="23">
        <v>2</v>
      </c>
      <c r="Z29" s="24">
        <f t="shared" si="5"/>
        <v>10</v>
      </c>
      <c r="AA29" s="25" t="str">
        <f t="shared" si="6"/>
        <v>Moderado</v>
      </c>
      <c r="AB29" s="25" t="str">
        <f t="shared" si="7"/>
        <v>NO</v>
      </c>
      <c r="AC29" s="26" t="s">
        <v>136</v>
      </c>
      <c r="AD29" s="27"/>
      <c r="AE29" s="27"/>
      <c r="AF29" s="27"/>
      <c r="AG29" s="27"/>
      <c r="AH29" s="27"/>
      <c r="AI29" s="27"/>
      <c r="AJ29" s="27"/>
    </row>
    <row r="30" spans="1:36" ht="73.5" customHeight="1" x14ac:dyDescent="0.3">
      <c r="A30" s="96"/>
      <c r="B30" s="96"/>
      <c r="C30" s="96"/>
      <c r="D30" s="96"/>
      <c r="E30" s="28" t="s">
        <v>27</v>
      </c>
      <c r="F30" s="28"/>
      <c r="G30" s="21" t="s">
        <v>46</v>
      </c>
      <c r="H30" s="21" t="s">
        <v>47</v>
      </c>
      <c r="I30" s="23">
        <v>3</v>
      </c>
      <c r="J30" s="23">
        <v>1</v>
      </c>
      <c r="K30" s="23">
        <v>1</v>
      </c>
      <c r="L30" s="23">
        <v>3</v>
      </c>
      <c r="M30" s="21">
        <f t="shared" si="0"/>
        <v>8</v>
      </c>
      <c r="N30" s="23">
        <v>2</v>
      </c>
      <c r="O30" s="24">
        <f t="shared" si="1"/>
        <v>16</v>
      </c>
      <c r="P30" s="25" t="str">
        <f t="shared" si="2"/>
        <v>Moderado</v>
      </c>
      <c r="Q30" s="25" t="str">
        <f t="shared" si="3"/>
        <v>NO</v>
      </c>
      <c r="R30" s="29" t="s">
        <v>137</v>
      </c>
      <c r="S30" s="22" t="s">
        <v>138</v>
      </c>
      <c r="T30" s="23">
        <v>3</v>
      </c>
      <c r="U30" s="23">
        <v>1</v>
      </c>
      <c r="V30" s="23">
        <v>1</v>
      </c>
      <c r="W30" s="21">
        <v>3</v>
      </c>
      <c r="X30" s="21">
        <f t="shared" si="4"/>
        <v>8</v>
      </c>
      <c r="Y30" s="23">
        <v>1</v>
      </c>
      <c r="Z30" s="24">
        <f t="shared" si="5"/>
        <v>8</v>
      </c>
      <c r="AA30" s="25" t="str">
        <f t="shared" si="6"/>
        <v>Tolerable</v>
      </c>
      <c r="AB30" s="25" t="str">
        <f t="shared" si="7"/>
        <v>NO</v>
      </c>
      <c r="AC30" s="26" t="s">
        <v>139</v>
      </c>
      <c r="AD30" s="27"/>
      <c r="AE30" s="27"/>
      <c r="AF30" s="27"/>
      <c r="AG30" s="27"/>
      <c r="AH30" s="27"/>
      <c r="AI30" s="27"/>
      <c r="AJ30" s="27"/>
    </row>
    <row r="31" spans="1:36" ht="73.5" customHeight="1" x14ac:dyDescent="0.3">
      <c r="A31" s="34"/>
      <c r="B31" s="28"/>
      <c r="C31" s="28"/>
      <c r="D31" s="28"/>
      <c r="E31" s="28" t="s">
        <v>27</v>
      </c>
      <c r="F31" s="28"/>
      <c r="G31" s="21" t="s">
        <v>65</v>
      </c>
      <c r="H31" s="21" t="s">
        <v>140</v>
      </c>
      <c r="I31" s="23">
        <v>3</v>
      </c>
      <c r="J31" s="23">
        <v>1</v>
      </c>
      <c r="K31" s="23">
        <v>1</v>
      </c>
      <c r="L31" s="23">
        <v>3</v>
      </c>
      <c r="M31" s="21">
        <f t="shared" si="0"/>
        <v>8</v>
      </c>
      <c r="N31" s="23">
        <v>3</v>
      </c>
      <c r="O31" s="24">
        <f t="shared" si="1"/>
        <v>24</v>
      </c>
      <c r="P31" s="25" t="str">
        <f t="shared" si="2"/>
        <v>Importante</v>
      </c>
      <c r="Q31" s="25" t="str">
        <f t="shared" si="3"/>
        <v>SÍ</v>
      </c>
      <c r="R31" s="26" t="s">
        <v>141</v>
      </c>
      <c r="S31" s="22" t="s">
        <v>142</v>
      </c>
      <c r="T31" s="23">
        <v>3</v>
      </c>
      <c r="U31" s="23">
        <v>1</v>
      </c>
      <c r="V31" s="23">
        <v>1</v>
      </c>
      <c r="W31" s="21">
        <v>3</v>
      </c>
      <c r="X31" s="21">
        <f t="shared" si="4"/>
        <v>8</v>
      </c>
      <c r="Y31" s="23">
        <v>1</v>
      </c>
      <c r="Z31" s="24">
        <f t="shared" si="5"/>
        <v>8</v>
      </c>
      <c r="AA31" s="25" t="str">
        <f t="shared" si="6"/>
        <v>Tolerable</v>
      </c>
      <c r="AB31" s="25" t="s">
        <v>143</v>
      </c>
      <c r="AC31" s="26" t="s">
        <v>144</v>
      </c>
      <c r="AD31" s="27"/>
      <c r="AE31" s="27"/>
      <c r="AF31" s="27"/>
      <c r="AG31" s="27"/>
      <c r="AH31" s="27"/>
      <c r="AI31" s="27"/>
      <c r="AJ31" s="27"/>
    </row>
    <row r="32" spans="1:36" ht="12.75" customHeight="1" x14ac:dyDescent="0.3">
      <c r="A32" s="1"/>
      <c r="B32" s="1"/>
      <c r="C32" s="2"/>
      <c r="D32" s="3"/>
      <c r="E32" s="31"/>
      <c r="F32" s="31"/>
      <c r="G32" s="5"/>
      <c r="H32" s="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2.75" customHeight="1" x14ac:dyDescent="0.3">
      <c r="A33" s="1"/>
      <c r="B33" s="1"/>
      <c r="C33" s="2"/>
      <c r="D33" s="3"/>
      <c r="E33" s="31"/>
      <c r="F33" s="31"/>
      <c r="G33" s="5"/>
      <c r="H33" s="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2.75" customHeight="1" x14ac:dyDescent="0.3">
      <c r="A34" s="1"/>
      <c r="B34" s="1"/>
      <c r="C34" s="2"/>
      <c r="D34" s="3"/>
      <c r="E34" s="31"/>
      <c r="F34" s="31"/>
      <c r="G34" s="5"/>
      <c r="H34" s="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2.75" customHeight="1" x14ac:dyDescent="0.3">
      <c r="A35" s="1"/>
      <c r="B35" s="1"/>
      <c r="C35" s="2"/>
      <c r="D35" s="3"/>
      <c r="E35" s="31"/>
      <c r="F35" s="31"/>
      <c r="G35" s="5"/>
      <c r="H35" s="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2.75" customHeight="1" x14ac:dyDescent="0.3">
      <c r="A36" s="1"/>
      <c r="B36" s="1"/>
      <c r="C36" s="2"/>
      <c r="D36" s="3"/>
      <c r="E36" s="31"/>
      <c r="F36" s="31"/>
      <c r="G36" s="5"/>
      <c r="H36" s="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2.75" customHeight="1" x14ac:dyDescent="0.3">
      <c r="A37" s="1"/>
      <c r="B37" s="1"/>
      <c r="C37" s="2"/>
      <c r="D37" s="3"/>
      <c r="E37" s="31"/>
      <c r="F37" s="31"/>
      <c r="G37" s="5"/>
      <c r="H37" s="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2.75" customHeight="1" x14ac:dyDescent="0.3">
      <c r="A38" s="1"/>
      <c r="B38" s="1"/>
      <c r="C38" s="2"/>
      <c r="D38" s="3"/>
      <c r="E38" s="31"/>
      <c r="F38" s="31"/>
      <c r="G38" s="5"/>
      <c r="H38" s="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2.75" customHeight="1" x14ac:dyDescent="0.3">
      <c r="A39" s="1"/>
      <c r="B39" s="1"/>
      <c r="C39" s="2"/>
      <c r="D39" s="3"/>
      <c r="E39" s="31"/>
      <c r="F39" s="31"/>
      <c r="G39" s="5"/>
      <c r="H39" s="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2.75" customHeight="1" x14ac:dyDescent="0.3">
      <c r="A40" s="1"/>
      <c r="B40" s="1"/>
      <c r="C40" s="2"/>
      <c r="D40" s="3"/>
      <c r="E40" s="31"/>
      <c r="F40" s="31"/>
      <c r="G40" s="5"/>
      <c r="H40" s="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2.75" customHeight="1" x14ac:dyDescent="0.3">
      <c r="A41" s="1"/>
      <c r="B41" s="1"/>
      <c r="C41" s="2"/>
      <c r="D41" s="3"/>
      <c r="E41" s="31"/>
      <c r="F41" s="31"/>
      <c r="G41" s="5"/>
      <c r="H41" s="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2.75" customHeight="1" x14ac:dyDescent="0.3">
      <c r="A42" s="1"/>
      <c r="B42" s="1"/>
      <c r="C42" s="2"/>
      <c r="D42" s="3"/>
      <c r="E42" s="31"/>
      <c r="F42" s="31"/>
      <c r="G42" s="5"/>
      <c r="H42" s="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2.75" customHeight="1" x14ac:dyDescent="0.3">
      <c r="A43" s="1"/>
      <c r="B43" s="1"/>
      <c r="C43" s="2"/>
      <c r="D43" s="3"/>
      <c r="E43" s="31"/>
      <c r="F43" s="31"/>
      <c r="G43" s="5"/>
      <c r="H43" s="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2.75" customHeight="1" x14ac:dyDescent="0.3">
      <c r="A44" s="1"/>
      <c r="B44" s="1"/>
      <c r="C44" s="2"/>
      <c r="D44" s="3"/>
      <c r="E44" s="31"/>
      <c r="F44" s="31"/>
      <c r="G44" s="5"/>
      <c r="H44" s="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2.75" customHeight="1" x14ac:dyDescent="0.3">
      <c r="A45" s="1"/>
      <c r="B45" s="1"/>
      <c r="C45" s="2"/>
      <c r="D45" s="3"/>
      <c r="E45" s="31"/>
      <c r="F45" s="31"/>
      <c r="G45" s="5"/>
      <c r="H45" s="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2.75" customHeight="1" x14ac:dyDescent="0.3">
      <c r="A46" s="1"/>
      <c r="B46" s="1"/>
      <c r="C46" s="2"/>
      <c r="D46" s="3"/>
      <c r="E46" s="31"/>
      <c r="F46" s="31"/>
      <c r="G46" s="5"/>
      <c r="H46" s="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2.75" customHeight="1" x14ac:dyDescent="0.3">
      <c r="A47" s="1"/>
      <c r="B47" s="1"/>
      <c r="C47" s="2"/>
      <c r="D47" s="3"/>
      <c r="E47" s="31"/>
      <c r="F47" s="31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2.75" customHeight="1" x14ac:dyDescent="0.3">
      <c r="A48" s="1"/>
      <c r="B48" s="1"/>
      <c r="C48" s="2"/>
      <c r="D48" s="3"/>
      <c r="E48" s="31"/>
      <c r="F48" s="31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2.75" customHeight="1" x14ac:dyDescent="0.3">
      <c r="A49" s="1"/>
      <c r="B49" s="1"/>
      <c r="C49" s="2"/>
      <c r="D49" s="3"/>
      <c r="E49" s="31"/>
      <c r="F49" s="31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2.75" customHeight="1" x14ac:dyDescent="0.3">
      <c r="A50" s="1"/>
      <c r="B50" s="1"/>
      <c r="C50" s="2"/>
      <c r="D50" s="3"/>
      <c r="E50" s="31"/>
      <c r="F50" s="31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2.75" customHeight="1" x14ac:dyDescent="0.3">
      <c r="A51" s="1"/>
      <c r="B51" s="1"/>
      <c r="C51" s="2"/>
      <c r="D51" s="3"/>
      <c r="E51" s="31"/>
      <c r="F51" s="31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2.75" customHeight="1" x14ac:dyDescent="0.3">
      <c r="A52" s="1"/>
      <c r="B52" s="1"/>
      <c r="C52" s="2"/>
      <c r="D52" s="3"/>
      <c r="E52" s="31"/>
      <c r="F52" s="31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2.75" customHeight="1" x14ac:dyDescent="0.3">
      <c r="A53" s="1"/>
      <c r="B53" s="1"/>
      <c r="C53" s="2"/>
      <c r="D53" s="3"/>
      <c r="E53" s="31"/>
      <c r="F53" s="31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2.75" customHeight="1" x14ac:dyDescent="0.3">
      <c r="A54" s="1"/>
      <c r="B54" s="1"/>
      <c r="C54" s="2"/>
      <c r="D54" s="3"/>
      <c r="E54" s="31"/>
      <c r="F54" s="31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2.75" customHeight="1" x14ac:dyDescent="0.3">
      <c r="A55" s="1"/>
      <c r="B55" s="1"/>
      <c r="C55" s="2"/>
      <c r="D55" s="3"/>
      <c r="E55" s="31"/>
      <c r="F55" s="31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2.75" customHeight="1" x14ac:dyDescent="0.3">
      <c r="A56" s="1"/>
      <c r="B56" s="1"/>
      <c r="C56" s="2"/>
      <c r="D56" s="3"/>
      <c r="E56" s="31"/>
      <c r="F56" s="31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2.75" customHeight="1" x14ac:dyDescent="0.3">
      <c r="A57" s="1"/>
      <c r="B57" s="1"/>
      <c r="C57" s="2"/>
      <c r="D57" s="3"/>
      <c r="E57" s="31"/>
      <c r="F57" s="31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2.75" customHeight="1" x14ac:dyDescent="0.3">
      <c r="A58" s="1"/>
      <c r="B58" s="1"/>
      <c r="C58" s="2"/>
      <c r="D58" s="3"/>
      <c r="E58" s="31"/>
      <c r="F58" s="31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2.75" customHeight="1" x14ac:dyDescent="0.3">
      <c r="A59" s="1"/>
      <c r="B59" s="1"/>
      <c r="C59" s="2"/>
      <c r="D59" s="32"/>
      <c r="E59" s="31"/>
      <c r="F59" s="31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2.75" customHeight="1" x14ac:dyDescent="0.3">
      <c r="A60" s="1"/>
      <c r="B60" s="1"/>
      <c r="C60" s="2"/>
      <c r="D60" s="3"/>
      <c r="E60" s="31"/>
      <c r="F60" s="31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2.75" customHeight="1" x14ac:dyDescent="0.3">
      <c r="A61" s="1"/>
      <c r="B61" s="1"/>
      <c r="C61" s="2"/>
      <c r="D61" s="3"/>
      <c r="E61" s="31"/>
      <c r="F61" s="31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2.75" customHeight="1" x14ac:dyDescent="0.3">
      <c r="A62" s="1"/>
      <c r="B62" s="1"/>
      <c r="C62" s="2"/>
      <c r="D62" s="3"/>
      <c r="E62" s="31"/>
      <c r="F62" s="31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2.75" customHeight="1" x14ac:dyDescent="0.3">
      <c r="A63" s="1"/>
      <c r="B63" s="1"/>
      <c r="C63" s="2"/>
      <c r="D63" s="3"/>
      <c r="E63" s="31"/>
      <c r="F63" s="31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2.75" customHeight="1" x14ac:dyDescent="0.3">
      <c r="A64" s="1"/>
      <c r="B64" s="1"/>
      <c r="C64" s="2"/>
      <c r="D64" s="3"/>
      <c r="E64" s="31"/>
      <c r="F64" s="31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2.75" customHeight="1" x14ac:dyDescent="0.3">
      <c r="A65" s="1"/>
      <c r="B65" s="1"/>
      <c r="C65" s="2"/>
      <c r="D65" s="3"/>
      <c r="E65" s="31"/>
      <c r="F65" s="31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2.75" customHeight="1" x14ac:dyDescent="0.3">
      <c r="A66" s="1"/>
      <c r="B66" s="1"/>
      <c r="C66" s="2"/>
      <c r="D66" s="3"/>
      <c r="E66" s="31"/>
      <c r="F66" s="31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2.75" customHeight="1" x14ac:dyDescent="0.3">
      <c r="A67" s="1"/>
      <c r="B67" s="1"/>
      <c r="C67" s="2"/>
      <c r="D67" s="3"/>
      <c r="E67" s="31"/>
      <c r="F67" s="31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2.75" customHeight="1" x14ac:dyDescent="0.3">
      <c r="A68" s="1"/>
      <c r="B68" s="1"/>
      <c r="C68" s="2"/>
      <c r="D68" s="3"/>
      <c r="E68" s="31"/>
      <c r="F68" s="31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2.75" customHeight="1" x14ac:dyDescent="0.3">
      <c r="A69" s="1"/>
      <c r="B69" s="1"/>
      <c r="C69" s="2"/>
      <c r="D69" s="3"/>
      <c r="E69" s="31"/>
      <c r="F69" s="31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2.75" customHeight="1" x14ac:dyDescent="0.3">
      <c r="A70" s="1"/>
      <c r="B70" s="1"/>
      <c r="C70" s="2"/>
      <c r="D70" s="3"/>
      <c r="E70" s="31"/>
      <c r="F70" s="31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2.75" customHeight="1" x14ac:dyDescent="0.3">
      <c r="A71" s="1"/>
      <c r="B71" s="1"/>
      <c r="C71" s="2"/>
      <c r="D71" s="3"/>
      <c r="E71" s="31"/>
      <c r="F71" s="31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2.75" customHeight="1" x14ac:dyDescent="0.3">
      <c r="A72" s="1"/>
      <c r="B72" s="1"/>
      <c r="C72" s="2"/>
      <c r="D72" s="3"/>
      <c r="E72" s="31"/>
      <c r="F72" s="31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2.75" customHeight="1" x14ac:dyDescent="0.3">
      <c r="A73" s="1"/>
      <c r="B73" s="1"/>
      <c r="C73" s="2"/>
      <c r="D73" s="3"/>
      <c r="E73" s="31"/>
      <c r="F73" s="31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2.75" customHeight="1" x14ac:dyDescent="0.3">
      <c r="A74" s="1"/>
      <c r="B74" s="1"/>
      <c r="C74" s="2"/>
      <c r="D74" s="3"/>
      <c r="E74" s="31"/>
      <c r="F74" s="31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2.75" customHeight="1" x14ac:dyDescent="0.3">
      <c r="A75" s="1"/>
      <c r="B75" s="1"/>
      <c r="C75" s="2"/>
      <c r="D75" s="3"/>
      <c r="E75" s="31"/>
      <c r="F75" s="31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2.75" customHeight="1" x14ac:dyDescent="0.3">
      <c r="A76" s="1"/>
      <c r="B76" s="1"/>
      <c r="C76" s="2"/>
      <c r="D76" s="3"/>
      <c r="E76" s="31"/>
      <c r="F76" s="31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2.75" customHeight="1" x14ac:dyDescent="0.3">
      <c r="A77" s="1"/>
      <c r="B77" s="1"/>
      <c r="C77" s="2"/>
      <c r="D77" s="3"/>
      <c r="E77" s="31"/>
      <c r="F77" s="31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2.75" customHeight="1" x14ac:dyDescent="0.3">
      <c r="A78" s="1"/>
      <c r="B78" s="1"/>
      <c r="C78" s="2"/>
      <c r="D78" s="3"/>
      <c r="E78" s="31"/>
      <c r="F78" s="31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2.75" customHeight="1" x14ac:dyDescent="0.3">
      <c r="A79" s="1"/>
      <c r="B79" s="1"/>
      <c r="C79" s="2"/>
      <c r="D79" s="3"/>
      <c r="E79" s="31"/>
      <c r="F79" s="31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2.75" customHeight="1" x14ac:dyDescent="0.3">
      <c r="A80" s="1"/>
      <c r="B80" s="1"/>
      <c r="C80" s="2"/>
      <c r="D80" s="3"/>
      <c r="E80" s="31"/>
      <c r="F80" s="31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2.75" customHeight="1" x14ac:dyDescent="0.3">
      <c r="A81" s="1"/>
      <c r="B81" s="1"/>
      <c r="C81" s="2"/>
      <c r="D81" s="3"/>
      <c r="E81" s="31"/>
      <c r="F81" s="31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2.75" customHeight="1" x14ac:dyDescent="0.3">
      <c r="A82" s="1"/>
      <c r="B82" s="1"/>
      <c r="C82" s="2"/>
      <c r="D82" s="3"/>
      <c r="E82" s="31"/>
      <c r="F82" s="31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2.75" customHeight="1" x14ac:dyDescent="0.3">
      <c r="A83" s="1"/>
      <c r="B83" s="1"/>
      <c r="C83" s="2"/>
      <c r="D83" s="3"/>
      <c r="E83" s="31"/>
      <c r="F83" s="31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2.75" customHeight="1" x14ac:dyDescent="0.3">
      <c r="A84" s="1"/>
      <c r="B84" s="1"/>
      <c r="C84" s="2"/>
      <c r="D84" s="3"/>
      <c r="E84" s="31"/>
      <c r="F84" s="31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2.75" customHeight="1" x14ac:dyDescent="0.3">
      <c r="A85" s="1"/>
      <c r="B85" s="1"/>
      <c r="C85" s="2"/>
      <c r="D85" s="3"/>
      <c r="E85" s="31"/>
      <c r="F85" s="31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2.75" customHeight="1" x14ac:dyDescent="0.3">
      <c r="A86" s="1"/>
      <c r="B86" s="1"/>
      <c r="C86" s="2"/>
      <c r="D86" s="3"/>
      <c r="E86" s="31"/>
      <c r="F86" s="31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2.75" customHeight="1" x14ac:dyDescent="0.3">
      <c r="A87" s="1"/>
      <c r="B87" s="1"/>
      <c r="C87" s="2"/>
      <c r="D87" s="3"/>
      <c r="E87" s="31"/>
      <c r="F87" s="31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2.75" customHeight="1" x14ac:dyDescent="0.3">
      <c r="A88" s="1"/>
      <c r="B88" s="1"/>
      <c r="C88" s="2"/>
      <c r="D88" s="3"/>
      <c r="E88" s="31"/>
      <c r="F88" s="31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2.75" customHeight="1" x14ac:dyDescent="0.3">
      <c r="A89" s="1"/>
      <c r="B89" s="1"/>
      <c r="C89" s="2"/>
      <c r="D89" s="3"/>
      <c r="E89" s="31"/>
      <c r="F89" s="31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2.75" customHeight="1" x14ac:dyDescent="0.3">
      <c r="A90" s="1"/>
      <c r="B90" s="1"/>
      <c r="C90" s="2"/>
      <c r="D90" s="3"/>
      <c r="E90" s="31"/>
      <c r="F90" s="31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2.75" customHeight="1" x14ac:dyDescent="0.3">
      <c r="A91" s="1"/>
      <c r="B91" s="1"/>
      <c r="C91" s="2"/>
      <c r="D91" s="3"/>
      <c r="E91" s="31"/>
      <c r="F91" s="31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2.75" customHeight="1" x14ac:dyDescent="0.3">
      <c r="A92" s="1"/>
      <c r="B92" s="1"/>
      <c r="C92" s="2"/>
      <c r="D92" s="3"/>
      <c r="E92" s="31"/>
      <c r="F92" s="31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2.75" customHeight="1" x14ac:dyDescent="0.3">
      <c r="A93" s="1"/>
      <c r="B93" s="1"/>
      <c r="C93" s="2"/>
      <c r="D93" s="3"/>
      <c r="E93" s="31"/>
      <c r="F93" s="31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2.75" customHeight="1" x14ac:dyDescent="0.3">
      <c r="A94" s="1"/>
      <c r="B94" s="1"/>
      <c r="C94" s="2"/>
      <c r="D94" s="3"/>
      <c r="E94" s="31"/>
      <c r="F94" s="31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2.75" customHeight="1" x14ac:dyDescent="0.3">
      <c r="A95" s="1"/>
      <c r="B95" s="1"/>
      <c r="C95" s="2"/>
      <c r="D95" s="3"/>
      <c r="E95" s="31"/>
      <c r="F95" s="31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2.75" customHeight="1" x14ac:dyDescent="0.3">
      <c r="A96" s="1"/>
      <c r="B96" s="1"/>
      <c r="C96" s="2"/>
      <c r="D96" s="3"/>
      <c r="E96" s="31"/>
      <c r="F96" s="31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2.75" customHeight="1" x14ac:dyDescent="0.3">
      <c r="A97" s="1"/>
      <c r="B97" s="1"/>
      <c r="C97" s="2"/>
      <c r="D97" s="3"/>
      <c r="E97" s="31"/>
      <c r="F97" s="31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2.75" customHeight="1" x14ac:dyDescent="0.3">
      <c r="A98" s="1"/>
      <c r="B98" s="1"/>
      <c r="C98" s="2"/>
      <c r="D98" s="3"/>
      <c r="E98" s="31"/>
      <c r="F98" s="31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2.75" customHeight="1" x14ac:dyDescent="0.3">
      <c r="A99" s="1"/>
      <c r="B99" s="1"/>
      <c r="C99" s="2"/>
      <c r="D99" s="3"/>
      <c r="E99" s="31"/>
      <c r="F99" s="31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2.75" customHeight="1" x14ac:dyDescent="0.3">
      <c r="A100" s="1"/>
      <c r="B100" s="1"/>
      <c r="C100" s="2"/>
      <c r="D100" s="3"/>
      <c r="E100" s="31"/>
      <c r="F100" s="31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2.75" customHeight="1" x14ac:dyDescent="0.3">
      <c r="A101" s="1"/>
      <c r="B101" s="1"/>
      <c r="C101" s="2"/>
      <c r="D101" s="3"/>
      <c r="E101" s="31"/>
      <c r="F101" s="31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2.75" customHeight="1" x14ac:dyDescent="0.3">
      <c r="A102" s="1"/>
      <c r="B102" s="1"/>
      <c r="C102" s="2"/>
      <c r="D102" s="3"/>
      <c r="E102" s="31"/>
      <c r="F102" s="31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2.75" customHeight="1" x14ac:dyDescent="0.3">
      <c r="A103" s="1"/>
      <c r="B103" s="1"/>
      <c r="C103" s="2"/>
      <c r="D103" s="3"/>
      <c r="E103" s="31"/>
      <c r="F103" s="31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2.75" customHeight="1" x14ac:dyDescent="0.3">
      <c r="A104" s="1"/>
      <c r="B104" s="1"/>
      <c r="C104" s="2"/>
      <c r="D104" s="3"/>
      <c r="E104" s="31"/>
      <c r="F104" s="31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2.75" customHeight="1" x14ac:dyDescent="0.3">
      <c r="A105" s="1"/>
      <c r="B105" s="1"/>
      <c r="C105" s="2"/>
      <c r="D105" s="3"/>
      <c r="E105" s="31"/>
      <c r="F105" s="31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2.75" customHeight="1" x14ac:dyDescent="0.3">
      <c r="A106" s="1"/>
      <c r="B106" s="1"/>
      <c r="C106" s="2"/>
      <c r="D106" s="3"/>
      <c r="E106" s="31"/>
      <c r="F106" s="31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2.75" customHeight="1" x14ac:dyDescent="0.3">
      <c r="A107" s="1"/>
      <c r="B107" s="1"/>
      <c r="C107" s="2"/>
      <c r="D107" s="3"/>
      <c r="E107" s="31"/>
      <c r="F107" s="31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2.75" customHeight="1" x14ac:dyDescent="0.3">
      <c r="A108" s="1"/>
      <c r="B108" s="1"/>
      <c r="C108" s="2"/>
      <c r="D108" s="3"/>
      <c r="E108" s="31"/>
      <c r="F108" s="31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2.75" customHeight="1" x14ac:dyDescent="0.3">
      <c r="A109" s="1"/>
      <c r="B109" s="1"/>
      <c r="C109" s="2"/>
      <c r="D109" s="3"/>
      <c r="E109" s="31"/>
      <c r="F109" s="31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2.75" customHeight="1" x14ac:dyDescent="0.3">
      <c r="A110" s="1"/>
      <c r="B110" s="1"/>
      <c r="C110" s="2"/>
      <c r="D110" s="3"/>
      <c r="E110" s="31"/>
      <c r="F110" s="31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2.75" customHeight="1" x14ac:dyDescent="0.3">
      <c r="A111" s="1"/>
      <c r="B111" s="1"/>
      <c r="C111" s="2"/>
      <c r="D111" s="3"/>
      <c r="E111" s="31"/>
      <c r="F111" s="31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2.75" customHeight="1" x14ac:dyDescent="0.3">
      <c r="A112" s="1"/>
      <c r="B112" s="1"/>
      <c r="C112" s="2"/>
      <c r="D112" s="3"/>
      <c r="E112" s="31"/>
      <c r="F112" s="31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2.75" customHeight="1" x14ac:dyDescent="0.3">
      <c r="A113" s="1"/>
      <c r="B113" s="1"/>
      <c r="C113" s="2"/>
      <c r="D113" s="3"/>
      <c r="E113" s="31"/>
      <c r="F113" s="31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2.75" customHeight="1" x14ac:dyDescent="0.3">
      <c r="A114" s="1"/>
      <c r="B114" s="1"/>
      <c r="C114" s="2"/>
      <c r="D114" s="3"/>
      <c r="E114" s="31"/>
      <c r="F114" s="31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2.75" customHeight="1" x14ac:dyDescent="0.3">
      <c r="A115" s="1"/>
      <c r="B115" s="1"/>
      <c r="C115" s="2"/>
      <c r="D115" s="3"/>
      <c r="E115" s="31"/>
      <c r="F115" s="31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2.75" customHeight="1" x14ac:dyDescent="0.3">
      <c r="A116" s="1"/>
      <c r="B116" s="1"/>
      <c r="C116" s="2"/>
      <c r="D116" s="3"/>
      <c r="E116" s="31"/>
      <c r="F116" s="31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2.75" customHeight="1" x14ac:dyDescent="0.3">
      <c r="A117" s="1"/>
      <c r="B117" s="1"/>
      <c r="C117" s="2"/>
      <c r="D117" s="3"/>
      <c r="E117" s="31"/>
      <c r="F117" s="31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2.75" customHeight="1" x14ac:dyDescent="0.3">
      <c r="A118" s="1"/>
      <c r="B118" s="1"/>
      <c r="C118" s="2"/>
      <c r="D118" s="3"/>
      <c r="E118" s="31"/>
      <c r="F118" s="31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2.75" customHeight="1" x14ac:dyDescent="0.3">
      <c r="A119" s="1"/>
      <c r="B119" s="1"/>
      <c r="C119" s="2"/>
      <c r="D119" s="3"/>
      <c r="E119" s="31"/>
      <c r="F119" s="31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2.75" customHeight="1" x14ac:dyDescent="0.3">
      <c r="A120" s="1"/>
      <c r="B120" s="1"/>
      <c r="C120" s="2"/>
      <c r="D120" s="3"/>
      <c r="E120" s="31"/>
      <c r="F120" s="31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2.75" customHeight="1" x14ac:dyDescent="0.3">
      <c r="A121" s="1"/>
      <c r="B121" s="1"/>
      <c r="C121" s="2"/>
      <c r="D121" s="3"/>
      <c r="E121" s="31"/>
      <c r="F121" s="31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2.75" customHeight="1" x14ac:dyDescent="0.3">
      <c r="A122" s="1"/>
      <c r="B122" s="1"/>
      <c r="C122" s="2"/>
      <c r="D122" s="3"/>
      <c r="E122" s="31"/>
      <c r="F122" s="31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2.75" customHeight="1" x14ac:dyDescent="0.3">
      <c r="A123" s="1"/>
      <c r="B123" s="1"/>
      <c r="C123" s="2"/>
      <c r="D123" s="3"/>
      <c r="E123" s="31"/>
      <c r="F123" s="31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2.75" customHeight="1" x14ac:dyDescent="0.3">
      <c r="A124" s="1"/>
      <c r="B124" s="1"/>
      <c r="C124" s="2"/>
      <c r="D124" s="3"/>
      <c r="E124" s="31"/>
      <c r="F124" s="31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2.75" customHeight="1" x14ac:dyDescent="0.3">
      <c r="A125" s="1"/>
      <c r="B125" s="1"/>
      <c r="C125" s="2"/>
      <c r="D125" s="3"/>
      <c r="E125" s="31"/>
      <c r="F125" s="31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2.75" customHeight="1" x14ac:dyDescent="0.3">
      <c r="A126" s="1"/>
      <c r="B126" s="1"/>
      <c r="C126" s="2"/>
      <c r="D126" s="3"/>
      <c r="E126" s="31"/>
      <c r="F126" s="31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2.75" customHeight="1" x14ac:dyDescent="0.3">
      <c r="A127" s="1"/>
      <c r="B127" s="1"/>
      <c r="C127" s="2"/>
      <c r="D127" s="3"/>
      <c r="E127" s="31"/>
      <c r="F127" s="31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2.75" customHeight="1" x14ac:dyDescent="0.3">
      <c r="A128" s="1"/>
      <c r="B128" s="1"/>
      <c r="C128" s="2"/>
      <c r="D128" s="3"/>
      <c r="E128" s="31"/>
      <c r="F128" s="31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2.75" customHeight="1" x14ac:dyDescent="0.3">
      <c r="A129" s="1"/>
      <c r="B129" s="1"/>
      <c r="C129" s="2"/>
      <c r="D129" s="3"/>
      <c r="E129" s="31"/>
      <c r="F129" s="31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2.75" customHeight="1" x14ac:dyDescent="0.3">
      <c r="A130" s="1"/>
      <c r="B130" s="1"/>
      <c r="C130" s="2"/>
      <c r="D130" s="3"/>
      <c r="E130" s="31"/>
      <c r="F130" s="31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2.75" customHeight="1" x14ac:dyDescent="0.3">
      <c r="A131" s="1"/>
      <c r="B131" s="1"/>
      <c r="C131" s="2"/>
      <c r="D131" s="3"/>
      <c r="E131" s="31"/>
      <c r="F131" s="31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2.75" customHeight="1" x14ac:dyDescent="0.3">
      <c r="A132" s="1"/>
      <c r="B132" s="1"/>
      <c r="C132" s="2"/>
      <c r="D132" s="3"/>
      <c r="E132" s="31"/>
      <c r="F132" s="31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2.75" customHeight="1" x14ac:dyDescent="0.3">
      <c r="A133" s="1"/>
      <c r="B133" s="1"/>
      <c r="C133" s="2"/>
      <c r="D133" s="3"/>
      <c r="E133" s="31"/>
      <c r="F133" s="31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2.75" customHeight="1" x14ac:dyDescent="0.3">
      <c r="A134" s="1"/>
      <c r="B134" s="1"/>
      <c r="C134" s="2"/>
      <c r="D134" s="3"/>
      <c r="E134" s="31"/>
      <c r="F134" s="31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2.75" customHeight="1" x14ac:dyDescent="0.3">
      <c r="A135" s="1"/>
      <c r="B135" s="1"/>
      <c r="C135" s="2"/>
      <c r="D135" s="3"/>
      <c r="E135" s="31"/>
      <c r="F135" s="31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2.75" customHeight="1" x14ac:dyDescent="0.3">
      <c r="A136" s="1"/>
      <c r="B136" s="1"/>
      <c r="C136" s="2"/>
      <c r="D136" s="3"/>
      <c r="E136" s="31"/>
      <c r="F136" s="31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2.75" customHeight="1" x14ac:dyDescent="0.3">
      <c r="A137" s="1"/>
      <c r="B137" s="1"/>
      <c r="C137" s="2"/>
      <c r="D137" s="3"/>
      <c r="E137" s="31"/>
      <c r="F137" s="31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2.75" customHeight="1" x14ac:dyDescent="0.3">
      <c r="A138" s="1"/>
      <c r="B138" s="1"/>
      <c r="C138" s="2"/>
      <c r="D138" s="3"/>
      <c r="E138" s="31"/>
      <c r="F138" s="31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2.75" customHeight="1" x14ac:dyDescent="0.3">
      <c r="A139" s="1"/>
      <c r="B139" s="1"/>
      <c r="C139" s="2"/>
      <c r="D139" s="3"/>
      <c r="E139" s="31"/>
      <c r="F139" s="31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2.75" customHeight="1" x14ac:dyDescent="0.3">
      <c r="A140" s="1"/>
      <c r="B140" s="1"/>
      <c r="C140" s="2"/>
      <c r="D140" s="3"/>
      <c r="E140" s="31"/>
      <c r="F140" s="31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2.75" customHeight="1" x14ac:dyDescent="0.3">
      <c r="A141" s="1"/>
      <c r="B141" s="1"/>
      <c r="C141" s="2"/>
      <c r="D141" s="3"/>
      <c r="E141" s="31"/>
      <c r="F141" s="31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2.75" customHeight="1" x14ac:dyDescent="0.3">
      <c r="A142" s="1"/>
      <c r="B142" s="1"/>
      <c r="C142" s="2"/>
      <c r="D142" s="3"/>
      <c r="E142" s="31"/>
      <c r="F142" s="31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2.75" customHeight="1" x14ac:dyDescent="0.3">
      <c r="A143" s="1"/>
      <c r="B143" s="1"/>
      <c r="C143" s="2"/>
      <c r="D143" s="3"/>
      <c r="E143" s="31"/>
      <c r="F143" s="31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2.75" customHeight="1" x14ac:dyDescent="0.3">
      <c r="A144" s="1"/>
      <c r="B144" s="1"/>
      <c r="C144" s="2"/>
      <c r="D144" s="3"/>
      <c r="E144" s="31"/>
      <c r="F144" s="31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2.75" customHeight="1" x14ac:dyDescent="0.3">
      <c r="A145" s="1"/>
      <c r="B145" s="1"/>
      <c r="C145" s="2"/>
      <c r="D145" s="3"/>
      <c r="E145" s="31"/>
      <c r="F145" s="31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2.75" customHeight="1" x14ac:dyDescent="0.3">
      <c r="A146" s="1"/>
      <c r="B146" s="1"/>
      <c r="C146" s="2"/>
      <c r="D146" s="3"/>
      <c r="E146" s="31"/>
      <c r="F146" s="31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2.75" customHeight="1" x14ac:dyDescent="0.3">
      <c r="A147" s="1"/>
      <c r="B147" s="1"/>
      <c r="C147" s="2"/>
      <c r="D147" s="3"/>
      <c r="E147" s="31"/>
      <c r="F147" s="31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2.75" customHeight="1" x14ac:dyDescent="0.3">
      <c r="A148" s="1"/>
      <c r="B148" s="1"/>
      <c r="C148" s="2"/>
      <c r="D148" s="3"/>
      <c r="E148" s="31"/>
      <c r="F148" s="31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2.75" customHeight="1" x14ac:dyDescent="0.3">
      <c r="A149" s="1"/>
      <c r="B149" s="1"/>
      <c r="C149" s="2"/>
      <c r="D149" s="3"/>
      <c r="E149" s="31"/>
      <c r="F149" s="31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2.75" customHeight="1" x14ac:dyDescent="0.3">
      <c r="A150" s="1"/>
      <c r="B150" s="1"/>
      <c r="C150" s="2"/>
      <c r="D150" s="3"/>
      <c r="E150" s="31"/>
      <c r="F150" s="31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2.75" customHeight="1" x14ac:dyDescent="0.3">
      <c r="A151" s="1"/>
      <c r="B151" s="1"/>
      <c r="C151" s="2"/>
      <c r="D151" s="3"/>
      <c r="E151" s="31"/>
      <c r="F151" s="31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2.75" customHeight="1" x14ac:dyDescent="0.3">
      <c r="A152" s="1"/>
      <c r="B152" s="1"/>
      <c r="C152" s="2"/>
      <c r="D152" s="3"/>
      <c r="E152" s="31"/>
      <c r="F152" s="31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2.75" customHeight="1" x14ac:dyDescent="0.3">
      <c r="A153" s="1"/>
      <c r="B153" s="1"/>
      <c r="C153" s="2"/>
      <c r="D153" s="3"/>
      <c r="E153" s="31"/>
      <c r="F153" s="31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2.75" customHeight="1" x14ac:dyDescent="0.3">
      <c r="A154" s="1"/>
      <c r="B154" s="1"/>
      <c r="C154" s="2"/>
      <c r="D154" s="3"/>
      <c r="E154" s="31"/>
      <c r="F154" s="31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2.75" customHeight="1" x14ac:dyDescent="0.3">
      <c r="A155" s="1"/>
      <c r="B155" s="1"/>
      <c r="C155" s="2"/>
      <c r="D155" s="3"/>
      <c r="E155" s="31"/>
      <c r="F155" s="31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2.75" customHeight="1" x14ac:dyDescent="0.3">
      <c r="A156" s="1"/>
      <c r="B156" s="1"/>
      <c r="C156" s="2"/>
      <c r="D156" s="3"/>
      <c r="E156" s="31"/>
      <c r="F156" s="31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2.75" customHeight="1" x14ac:dyDescent="0.3">
      <c r="A157" s="1"/>
      <c r="B157" s="1"/>
      <c r="C157" s="2"/>
      <c r="D157" s="3"/>
      <c r="E157" s="31"/>
      <c r="F157" s="31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2.75" customHeight="1" x14ac:dyDescent="0.3">
      <c r="A158" s="1"/>
      <c r="B158" s="1"/>
      <c r="C158" s="2"/>
      <c r="D158" s="3"/>
      <c r="E158" s="31"/>
      <c r="F158" s="31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2.75" customHeight="1" x14ac:dyDescent="0.3">
      <c r="A159" s="1"/>
      <c r="B159" s="1"/>
      <c r="C159" s="2"/>
      <c r="D159" s="3"/>
      <c r="E159" s="31"/>
      <c r="F159" s="31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2.75" customHeight="1" x14ac:dyDescent="0.3">
      <c r="A160" s="1"/>
      <c r="B160" s="1"/>
      <c r="C160" s="2"/>
      <c r="D160" s="3"/>
      <c r="E160" s="31"/>
      <c r="F160" s="31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2.75" customHeight="1" x14ac:dyDescent="0.3">
      <c r="A161" s="1"/>
      <c r="B161" s="1"/>
      <c r="C161" s="2"/>
      <c r="D161" s="3"/>
      <c r="E161" s="31"/>
      <c r="F161" s="31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2.75" customHeight="1" x14ac:dyDescent="0.3">
      <c r="A162" s="1"/>
      <c r="B162" s="1"/>
      <c r="C162" s="2"/>
      <c r="D162" s="3"/>
      <c r="E162" s="31"/>
      <c r="F162" s="31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2.75" customHeight="1" x14ac:dyDescent="0.3">
      <c r="A163" s="1"/>
      <c r="B163" s="1"/>
      <c r="C163" s="2"/>
      <c r="D163" s="3"/>
      <c r="E163" s="31"/>
      <c r="F163" s="31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2.75" customHeight="1" x14ac:dyDescent="0.3">
      <c r="A164" s="1"/>
      <c r="B164" s="1"/>
      <c r="C164" s="2"/>
      <c r="D164" s="3"/>
      <c r="E164" s="31"/>
      <c r="F164" s="31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2.75" customHeight="1" x14ac:dyDescent="0.3">
      <c r="A165" s="1"/>
      <c r="B165" s="1"/>
      <c r="C165" s="2"/>
      <c r="D165" s="3"/>
      <c r="E165" s="31"/>
      <c r="F165" s="31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2.75" customHeight="1" x14ac:dyDescent="0.3">
      <c r="A166" s="1"/>
      <c r="B166" s="1"/>
      <c r="C166" s="2"/>
      <c r="D166" s="3"/>
      <c r="E166" s="31"/>
      <c r="F166" s="31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2.75" customHeight="1" x14ac:dyDescent="0.3">
      <c r="A167" s="1"/>
      <c r="B167" s="1"/>
      <c r="C167" s="2"/>
      <c r="D167" s="3"/>
      <c r="E167" s="31"/>
      <c r="F167" s="31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2.75" customHeight="1" x14ac:dyDescent="0.3">
      <c r="A168" s="1"/>
      <c r="B168" s="1"/>
      <c r="C168" s="2"/>
      <c r="D168" s="3"/>
      <c r="E168" s="31"/>
      <c r="F168" s="31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2.75" customHeight="1" x14ac:dyDescent="0.3">
      <c r="A169" s="1"/>
      <c r="B169" s="1"/>
      <c r="C169" s="2"/>
      <c r="D169" s="3"/>
      <c r="E169" s="31"/>
      <c r="F169" s="31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2.75" customHeight="1" x14ac:dyDescent="0.3">
      <c r="A170" s="1"/>
      <c r="B170" s="1"/>
      <c r="C170" s="2"/>
      <c r="D170" s="3"/>
      <c r="E170" s="31"/>
      <c r="F170" s="31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2.75" customHeight="1" x14ac:dyDescent="0.3">
      <c r="A171" s="1"/>
      <c r="B171" s="1"/>
      <c r="C171" s="2"/>
      <c r="D171" s="3"/>
      <c r="E171" s="31"/>
      <c r="F171" s="31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2.75" customHeight="1" x14ac:dyDescent="0.3">
      <c r="A172" s="1"/>
      <c r="B172" s="1"/>
      <c r="C172" s="2"/>
      <c r="D172" s="3"/>
      <c r="E172" s="31"/>
      <c r="F172" s="31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2.75" customHeight="1" x14ac:dyDescent="0.3">
      <c r="A173" s="1"/>
      <c r="B173" s="1"/>
      <c r="C173" s="2"/>
      <c r="D173" s="3"/>
      <c r="E173" s="31"/>
      <c r="F173" s="31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2.75" customHeight="1" x14ac:dyDescent="0.3">
      <c r="A174" s="1"/>
      <c r="B174" s="1"/>
      <c r="C174" s="2"/>
      <c r="D174" s="3"/>
      <c r="E174" s="31"/>
      <c r="F174" s="31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2.75" customHeight="1" x14ac:dyDescent="0.3">
      <c r="A175" s="1"/>
      <c r="B175" s="1"/>
      <c r="C175" s="2"/>
      <c r="D175" s="3"/>
      <c r="E175" s="31"/>
      <c r="F175" s="31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2.75" customHeight="1" x14ac:dyDescent="0.3">
      <c r="A176" s="1"/>
      <c r="B176" s="1"/>
      <c r="C176" s="2"/>
      <c r="D176" s="3"/>
      <c r="E176" s="31"/>
      <c r="F176" s="31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2.75" customHeight="1" x14ac:dyDescent="0.3">
      <c r="A177" s="1"/>
      <c r="B177" s="1"/>
      <c r="C177" s="2"/>
      <c r="D177" s="3"/>
      <c r="E177" s="31"/>
      <c r="F177" s="31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2.75" customHeight="1" x14ac:dyDescent="0.3">
      <c r="A178" s="1"/>
      <c r="B178" s="1"/>
      <c r="C178" s="2"/>
      <c r="D178" s="3"/>
      <c r="E178" s="31"/>
      <c r="F178" s="31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2.75" customHeight="1" x14ac:dyDescent="0.3">
      <c r="A179" s="1"/>
      <c r="B179" s="1"/>
      <c r="C179" s="2"/>
      <c r="D179" s="3"/>
      <c r="E179" s="31"/>
      <c r="F179" s="31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2.75" customHeight="1" x14ac:dyDescent="0.3">
      <c r="A180" s="1"/>
      <c r="B180" s="1"/>
      <c r="C180" s="2"/>
      <c r="D180" s="3"/>
      <c r="E180" s="31"/>
      <c r="F180" s="31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2.75" customHeight="1" x14ac:dyDescent="0.3">
      <c r="A181" s="1"/>
      <c r="B181" s="1"/>
      <c r="C181" s="2"/>
      <c r="D181" s="3"/>
      <c r="E181" s="31"/>
      <c r="F181" s="31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2.75" customHeight="1" x14ac:dyDescent="0.3">
      <c r="A182" s="1"/>
      <c r="B182" s="1"/>
      <c r="C182" s="2"/>
      <c r="D182" s="3"/>
      <c r="E182" s="31"/>
      <c r="F182" s="31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2.75" customHeight="1" x14ac:dyDescent="0.3">
      <c r="A183" s="1"/>
      <c r="B183" s="1"/>
      <c r="C183" s="2"/>
      <c r="D183" s="3"/>
      <c r="E183" s="31"/>
      <c r="F183" s="31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2.75" customHeight="1" x14ac:dyDescent="0.3">
      <c r="A184" s="1"/>
      <c r="B184" s="1"/>
      <c r="C184" s="2"/>
      <c r="D184" s="3"/>
      <c r="E184" s="31"/>
      <c r="F184" s="31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2.75" customHeight="1" x14ac:dyDescent="0.3">
      <c r="A185" s="1"/>
      <c r="B185" s="1"/>
      <c r="C185" s="2"/>
      <c r="D185" s="3"/>
      <c r="E185" s="31"/>
      <c r="F185" s="31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2.75" customHeight="1" x14ac:dyDescent="0.3">
      <c r="A186" s="1"/>
      <c r="B186" s="1"/>
      <c r="C186" s="2"/>
      <c r="D186" s="3"/>
      <c r="E186" s="31"/>
      <c r="F186" s="31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2.75" customHeight="1" x14ac:dyDescent="0.3">
      <c r="A187" s="1"/>
      <c r="B187" s="1"/>
      <c r="C187" s="2"/>
      <c r="D187" s="3"/>
      <c r="E187" s="31"/>
      <c r="F187" s="31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2.75" customHeight="1" x14ac:dyDescent="0.3">
      <c r="A188" s="1"/>
      <c r="B188" s="1"/>
      <c r="C188" s="2"/>
      <c r="D188" s="3"/>
      <c r="E188" s="31"/>
      <c r="F188" s="31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2.75" customHeight="1" x14ac:dyDescent="0.3">
      <c r="A189" s="1"/>
      <c r="B189" s="1"/>
      <c r="C189" s="2"/>
      <c r="D189" s="3"/>
      <c r="E189" s="31"/>
      <c r="F189" s="31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2.75" customHeight="1" x14ac:dyDescent="0.3">
      <c r="A190" s="1"/>
      <c r="B190" s="1"/>
      <c r="C190" s="2"/>
      <c r="D190" s="3"/>
      <c r="E190" s="31"/>
      <c r="F190" s="31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2.75" customHeight="1" x14ac:dyDescent="0.3">
      <c r="A191" s="1"/>
      <c r="B191" s="1"/>
      <c r="C191" s="2"/>
      <c r="D191" s="3"/>
      <c r="E191" s="31"/>
      <c r="F191" s="31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2.75" customHeight="1" x14ac:dyDescent="0.3">
      <c r="A192" s="1"/>
      <c r="B192" s="1"/>
      <c r="C192" s="2"/>
      <c r="D192" s="3"/>
      <c r="E192" s="31"/>
      <c r="F192" s="31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2.75" customHeight="1" x14ac:dyDescent="0.3">
      <c r="A193" s="1"/>
      <c r="B193" s="1"/>
      <c r="C193" s="2"/>
      <c r="D193" s="3"/>
      <c r="E193" s="31"/>
      <c r="F193" s="31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2.75" customHeight="1" x14ac:dyDescent="0.3">
      <c r="A194" s="1"/>
      <c r="B194" s="1"/>
      <c r="C194" s="2"/>
      <c r="D194" s="3"/>
      <c r="E194" s="31"/>
      <c r="F194" s="31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2.75" customHeight="1" x14ac:dyDescent="0.3">
      <c r="A195" s="1"/>
      <c r="B195" s="1"/>
      <c r="C195" s="2"/>
      <c r="D195" s="3"/>
      <c r="E195" s="31"/>
      <c r="F195" s="31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2.75" customHeight="1" x14ac:dyDescent="0.3">
      <c r="A196" s="1"/>
      <c r="B196" s="1"/>
      <c r="C196" s="2"/>
      <c r="D196" s="3"/>
      <c r="E196" s="31"/>
      <c r="F196" s="31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2.75" customHeight="1" x14ac:dyDescent="0.3">
      <c r="A197" s="1"/>
      <c r="B197" s="1"/>
      <c r="C197" s="2"/>
      <c r="D197" s="3"/>
      <c r="E197" s="31"/>
      <c r="F197" s="31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2.75" customHeight="1" x14ac:dyDescent="0.3">
      <c r="A198" s="1"/>
      <c r="B198" s="1"/>
      <c r="C198" s="2"/>
      <c r="D198" s="3"/>
      <c r="E198" s="31"/>
      <c r="F198" s="31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2.75" customHeight="1" x14ac:dyDescent="0.3">
      <c r="A199" s="1"/>
      <c r="B199" s="1"/>
      <c r="C199" s="2"/>
      <c r="D199" s="3"/>
      <c r="E199" s="31"/>
      <c r="F199" s="31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2.75" customHeight="1" x14ac:dyDescent="0.3">
      <c r="A200" s="1"/>
      <c r="B200" s="1"/>
      <c r="C200" s="2"/>
      <c r="D200" s="3"/>
      <c r="E200" s="31"/>
      <c r="F200" s="31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2.75" customHeight="1" x14ac:dyDescent="0.3">
      <c r="A201" s="1"/>
      <c r="B201" s="1"/>
      <c r="C201" s="2"/>
      <c r="D201" s="3"/>
      <c r="E201" s="31"/>
      <c r="F201" s="31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2.75" customHeight="1" x14ac:dyDescent="0.3">
      <c r="A202" s="1"/>
      <c r="B202" s="1"/>
      <c r="C202" s="2"/>
      <c r="D202" s="3"/>
      <c r="E202" s="31"/>
      <c r="F202" s="31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2.75" customHeight="1" x14ac:dyDescent="0.3">
      <c r="A203" s="1"/>
      <c r="B203" s="1"/>
      <c r="C203" s="2"/>
      <c r="D203" s="3"/>
      <c r="E203" s="31"/>
      <c r="F203" s="31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2.75" customHeight="1" x14ac:dyDescent="0.3">
      <c r="A204" s="1"/>
      <c r="B204" s="1"/>
      <c r="C204" s="2"/>
      <c r="D204" s="3"/>
      <c r="E204" s="31"/>
      <c r="F204" s="31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2.75" customHeight="1" x14ac:dyDescent="0.3">
      <c r="A205" s="1"/>
      <c r="B205" s="1"/>
      <c r="C205" s="2"/>
      <c r="D205" s="3"/>
      <c r="E205" s="31"/>
      <c r="F205" s="31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2.75" customHeight="1" x14ac:dyDescent="0.3">
      <c r="A206" s="1"/>
      <c r="B206" s="1"/>
      <c r="C206" s="2"/>
      <c r="D206" s="3"/>
      <c r="E206" s="31"/>
      <c r="F206" s="31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ht="12.75" customHeight="1" x14ac:dyDescent="0.3">
      <c r="A207" s="1"/>
      <c r="B207" s="1"/>
      <c r="C207" s="2"/>
      <c r="D207" s="3"/>
      <c r="E207" s="31"/>
      <c r="F207" s="31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ht="12.75" customHeight="1" x14ac:dyDescent="0.3">
      <c r="A208" s="1"/>
      <c r="B208" s="1"/>
      <c r="C208" s="2"/>
      <c r="D208" s="3"/>
      <c r="E208" s="31"/>
      <c r="F208" s="31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ht="12.75" customHeight="1" x14ac:dyDescent="0.3">
      <c r="A209" s="1"/>
      <c r="B209" s="1"/>
      <c r="C209" s="2"/>
      <c r="D209" s="3"/>
      <c r="E209" s="31"/>
      <c r="F209" s="31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ht="12.75" customHeight="1" x14ac:dyDescent="0.3">
      <c r="A210" s="1"/>
      <c r="B210" s="1"/>
      <c r="C210" s="2"/>
      <c r="D210" s="3"/>
      <c r="E210" s="31"/>
      <c r="F210" s="31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ht="12.75" customHeight="1" x14ac:dyDescent="0.3">
      <c r="A211" s="1"/>
      <c r="B211" s="1"/>
      <c r="C211" s="2"/>
      <c r="D211" s="3"/>
      <c r="E211" s="31"/>
      <c r="F211" s="31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ht="12.75" customHeight="1" x14ac:dyDescent="0.3">
      <c r="A212" s="1"/>
      <c r="B212" s="1"/>
      <c r="C212" s="2"/>
      <c r="D212" s="3"/>
      <c r="E212" s="31"/>
      <c r="F212" s="31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ht="12.75" customHeight="1" x14ac:dyDescent="0.3">
      <c r="A213" s="1"/>
      <c r="B213" s="1"/>
      <c r="C213" s="2"/>
      <c r="D213" s="3"/>
      <c r="E213" s="31"/>
      <c r="F213" s="31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ht="12.75" customHeight="1" x14ac:dyDescent="0.3">
      <c r="A214" s="1"/>
      <c r="B214" s="1"/>
      <c r="C214" s="2"/>
      <c r="D214" s="3"/>
      <c r="E214" s="31"/>
      <c r="F214" s="31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ht="12.75" customHeight="1" x14ac:dyDescent="0.3">
      <c r="A215" s="1"/>
      <c r="B215" s="1"/>
      <c r="C215" s="2"/>
      <c r="D215" s="3"/>
      <c r="E215" s="31"/>
      <c r="F215" s="31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ht="12.75" customHeight="1" x14ac:dyDescent="0.3">
      <c r="A216" s="1"/>
      <c r="B216" s="1"/>
      <c r="C216" s="2"/>
      <c r="D216" s="3"/>
      <c r="E216" s="31"/>
      <c r="F216" s="31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ht="12.75" customHeight="1" x14ac:dyDescent="0.3">
      <c r="A217" s="1"/>
      <c r="B217" s="1"/>
      <c r="C217" s="2"/>
      <c r="D217" s="3"/>
      <c r="E217" s="31"/>
      <c r="F217" s="31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ht="12.75" customHeight="1" x14ac:dyDescent="0.3">
      <c r="A218" s="1"/>
      <c r="B218" s="1"/>
      <c r="C218" s="2"/>
      <c r="D218" s="3"/>
      <c r="E218" s="31"/>
      <c r="F218" s="31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ht="12.75" customHeight="1" x14ac:dyDescent="0.3">
      <c r="A219" s="1"/>
      <c r="B219" s="1"/>
      <c r="C219" s="2"/>
      <c r="D219" s="3"/>
      <c r="E219" s="31"/>
      <c r="F219" s="31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ht="12.75" customHeight="1" x14ac:dyDescent="0.3">
      <c r="A220" s="1"/>
      <c r="B220" s="1"/>
      <c r="C220" s="2"/>
      <c r="D220" s="3"/>
      <c r="E220" s="31"/>
      <c r="F220" s="31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ht="12.75" customHeight="1" x14ac:dyDescent="0.3">
      <c r="A221" s="1"/>
      <c r="B221" s="1"/>
      <c r="C221" s="2"/>
      <c r="D221" s="3"/>
      <c r="E221" s="31"/>
      <c r="F221" s="31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ht="12.75" customHeight="1" x14ac:dyDescent="0.3">
      <c r="A222" s="1"/>
      <c r="B222" s="1"/>
      <c r="C222" s="2"/>
      <c r="D222" s="3"/>
      <c r="E222" s="31"/>
      <c r="F222" s="31"/>
      <c r="G222" s="5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ht="12.75" customHeight="1" x14ac:dyDescent="0.3">
      <c r="A223" s="1"/>
      <c r="B223" s="1"/>
      <c r="C223" s="2"/>
      <c r="D223" s="3"/>
      <c r="E223" s="31"/>
      <c r="F223" s="31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ht="12.75" customHeight="1" x14ac:dyDescent="0.3">
      <c r="A224" s="1"/>
      <c r="B224" s="1"/>
      <c r="C224" s="2"/>
      <c r="D224" s="3"/>
      <c r="E224" s="31"/>
      <c r="F224" s="31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ht="12.75" customHeight="1" x14ac:dyDescent="0.3">
      <c r="A225" s="1"/>
      <c r="B225" s="1"/>
      <c r="C225" s="2"/>
      <c r="D225" s="3"/>
      <c r="E225" s="31"/>
      <c r="F225" s="31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ht="12.75" customHeight="1" x14ac:dyDescent="0.3">
      <c r="A226" s="1"/>
      <c r="B226" s="1"/>
      <c r="C226" s="2"/>
      <c r="D226" s="3"/>
      <c r="E226" s="31"/>
      <c r="F226" s="31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ht="12.75" customHeight="1" x14ac:dyDescent="0.3">
      <c r="A227" s="1"/>
      <c r="B227" s="1"/>
      <c r="C227" s="2"/>
      <c r="D227" s="3"/>
      <c r="E227" s="31"/>
      <c r="F227" s="31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ht="12.75" customHeight="1" x14ac:dyDescent="0.3">
      <c r="A228" s="1"/>
      <c r="B228" s="1"/>
      <c r="C228" s="2"/>
      <c r="D228" s="3"/>
      <c r="E228" s="31"/>
      <c r="F228" s="31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ht="12.75" customHeight="1" x14ac:dyDescent="0.3">
      <c r="A229" s="1"/>
      <c r="B229" s="1"/>
      <c r="C229" s="2"/>
      <c r="D229" s="3"/>
      <c r="E229" s="31"/>
      <c r="F229" s="31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ht="12.75" customHeight="1" x14ac:dyDescent="0.3">
      <c r="A230" s="1"/>
      <c r="B230" s="1"/>
      <c r="C230" s="2"/>
      <c r="D230" s="3"/>
      <c r="E230" s="31"/>
      <c r="F230" s="31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ht="12.75" customHeight="1" x14ac:dyDescent="0.3">
      <c r="A231" s="1"/>
      <c r="B231" s="1"/>
      <c r="C231" s="2"/>
      <c r="D231" s="3"/>
      <c r="E231" s="31"/>
      <c r="F231" s="31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ht="15.75" customHeight="1" x14ac:dyDescent="0.3"/>
    <row r="233" spans="1:36" ht="15.75" customHeight="1" x14ac:dyDescent="0.3"/>
    <row r="234" spans="1:36" ht="15.75" customHeight="1" x14ac:dyDescent="0.3"/>
    <row r="235" spans="1:36" ht="15.75" customHeight="1" x14ac:dyDescent="0.3"/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8">
    <mergeCell ref="I8:Q8"/>
    <mergeCell ref="D8:D11"/>
    <mergeCell ref="E8:F10"/>
    <mergeCell ref="G8:G11"/>
    <mergeCell ref="H8:H11"/>
    <mergeCell ref="D12:D30"/>
    <mergeCell ref="C8:C11"/>
    <mergeCell ref="C12:C30"/>
    <mergeCell ref="A12:A30"/>
    <mergeCell ref="B15:B30"/>
    <mergeCell ref="A8:A11"/>
    <mergeCell ref="B8:B11"/>
    <mergeCell ref="T8:AB8"/>
    <mergeCell ref="I9:Q9"/>
    <mergeCell ref="T9:AB9"/>
    <mergeCell ref="T10:W10"/>
    <mergeCell ref="X10:X11"/>
    <mergeCell ref="Y10:Y11"/>
    <mergeCell ref="Z10:Z11"/>
    <mergeCell ref="AA10:AA11"/>
    <mergeCell ref="AB10:AB11"/>
    <mergeCell ref="I10:L10"/>
    <mergeCell ref="M10:M11"/>
    <mergeCell ref="N10:N11"/>
    <mergeCell ref="O10:O11"/>
    <mergeCell ref="P10:P11"/>
    <mergeCell ref="Q10:Q11"/>
    <mergeCell ref="S10:S11"/>
  </mergeCells>
  <conditionalFormatting sqref="P1:P1000 AA7 AA10:AA31">
    <cfRule type="cellIs" dxfId="6" priority="1" operator="equal">
      <formula>"No Aceptable"</formula>
    </cfRule>
  </conditionalFormatting>
  <conditionalFormatting sqref="P1:P1000 AA7 AA10:AA31">
    <cfRule type="cellIs" dxfId="5" priority="2" operator="equal">
      <formula>"Importante"</formula>
    </cfRule>
  </conditionalFormatting>
  <conditionalFormatting sqref="P1:P1000 AA7 AA10:AA31">
    <cfRule type="cellIs" dxfId="4" priority="3" operator="equal">
      <formula>"Moderado"</formula>
    </cfRule>
  </conditionalFormatting>
  <conditionalFormatting sqref="P1:P1000 AA7 AA10:AA31">
    <cfRule type="cellIs" dxfId="3" priority="4" operator="equal">
      <formula>"Tolerable"</formula>
    </cfRule>
  </conditionalFormatting>
  <conditionalFormatting sqref="P1:P1000 AA7 AA10:AA31">
    <cfRule type="cellIs" dxfId="2" priority="5" operator="equal">
      <formula>"Trivial"</formula>
    </cfRule>
  </conditionalFormatting>
  <conditionalFormatting sqref="G12:G21 G23:G31">
    <cfRule type="expression" dxfId="1" priority="6">
      <formula>P12="No Aceptable"</formula>
    </cfRule>
  </conditionalFormatting>
  <conditionalFormatting sqref="G22">
    <cfRule type="expression" dxfId="0" priority="7">
      <formula>P22="No Aceptable"</formula>
    </cfRule>
  </conditionalFormatting>
  <pageMargins left="0.19685039370078741" right="0.19685039370078741" top="0.15748031496062992" bottom="0.15748031496062992" header="0" footer="0"/>
  <pageSetup paperSize="9" orientation="landscape"/>
  <colBreaks count="1" manualBreakCount="1">
    <brk id="2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1000"/>
  <sheetViews>
    <sheetView zoomScale="70" zoomScaleNormal="70" workbookViewId="0"/>
  </sheetViews>
  <sheetFormatPr baseColWidth="10" defaultColWidth="14.44140625" defaultRowHeight="15" customHeight="1" x14ac:dyDescent="0.3"/>
  <cols>
    <col min="1" max="1" width="5.88671875" customWidth="1"/>
    <col min="2" max="5" width="18.6640625" customWidth="1"/>
    <col min="6" max="8" width="10.6640625" customWidth="1"/>
    <col min="9" max="9" width="10.33203125" customWidth="1"/>
    <col min="10" max="10" width="10.6640625" customWidth="1"/>
    <col min="11" max="11" width="14.5546875" customWidth="1"/>
    <col min="12" max="12" width="18" customWidth="1"/>
    <col min="13" max="26" width="10.6640625" customWidth="1"/>
  </cols>
  <sheetData>
    <row r="2" spans="1:23" ht="15.6" x14ac:dyDescent="0.3">
      <c r="A2" s="125" t="s">
        <v>203</v>
      </c>
      <c r="B2" s="112"/>
      <c r="C2" s="112"/>
      <c r="D2" s="112"/>
      <c r="E2" s="112"/>
      <c r="F2" s="112"/>
      <c r="G2" s="112"/>
      <c r="H2" s="112"/>
      <c r="I2" s="113"/>
      <c r="L2" s="126" t="s">
        <v>204</v>
      </c>
      <c r="M2" s="127"/>
      <c r="N2" s="127"/>
      <c r="O2" s="127"/>
      <c r="P2" s="127"/>
      <c r="Q2" s="127"/>
      <c r="R2" s="127"/>
      <c r="S2" s="127"/>
      <c r="T2" s="128"/>
    </row>
    <row r="3" spans="1:23" ht="14.4" x14ac:dyDescent="0.3">
      <c r="A3" s="132" t="s">
        <v>205</v>
      </c>
      <c r="B3" s="134" t="s">
        <v>206</v>
      </c>
      <c r="C3" s="135"/>
      <c r="D3" s="135"/>
      <c r="E3" s="136"/>
      <c r="F3" s="134" t="s">
        <v>204</v>
      </c>
      <c r="G3" s="135"/>
      <c r="H3" s="135"/>
      <c r="I3" s="136"/>
      <c r="L3" s="129"/>
      <c r="M3" s="130"/>
      <c r="N3" s="130"/>
      <c r="O3" s="130"/>
      <c r="P3" s="130"/>
      <c r="Q3" s="130"/>
      <c r="R3" s="130"/>
      <c r="S3" s="130"/>
      <c r="T3" s="131"/>
    </row>
    <row r="4" spans="1:23" ht="24" x14ac:dyDescent="0.4">
      <c r="A4" s="133"/>
      <c r="B4" s="45" t="s">
        <v>207</v>
      </c>
      <c r="C4" s="46" t="s">
        <v>208</v>
      </c>
      <c r="D4" s="47" t="s">
        <v>209</v>
      </c>
      <c r="E4" s="46" t="s">
        <v>210</v>
      </c>
      <c r="F4" s="137" t="s">
        <v>211</v>
      </c>
      <c r="G4" s="112"/>
      <c r="H4" s="112"/>
      <c r="I4" s="113"/>
      <c r="L4" s="138" t="s">
        <v>212</v>
      </c>
      <c r="M4" s="112"/>
      <c r="N4" s="113"/>
      <c r="O4" s="138" t="s">
        <v>213</v>
      </c>
      <c r="P4" s="112"/>
      <c r="Q4" s="113"/>
      <c r="R4" s="138" t="s">
        <v>214</v>
      </c>
      <c r="S4" s="112"/>
      <c r="T4" s="113"/>
    </row>
    <row r="5" spans="1:23" ht="79.5" customHeight="1" x14ac:dyDescent="0.3">
      <c r="A5" s="48">
        <v>1</v>
      </c>
      <c r="B5" s="49" t="s">
        <v>215</v>
      </c>
      <c r="C5" s="50" t="s">
        <v>216</v>
      </c>
      <c r="D5" s="51" t="s">
        <v>217</v>
      </c>
      <c r="E5" s="52" t="s">
        <v>218</v>
      </c>
      <c r="F5" s="143" t="s">
        <v>219</v>
      </c>
      <c r="G5" s="112"/>
      <c r="H5" s="112"/>
      <c r="I5" s="113"/>
      <c r="K5" s="145" t="s">
        <v>220</v>
      </c>
      <c r="L5" s="53" t="s">
        <v>212</v>
      </c>
      <c r="M5" s="148" t="s">
        <v>221</v>
      </c>
      <c r="N5" s="113"/>
      <c r="O5" s="148" t="s">
        <v>222</v>
      </c>
      <c r="P5" s="112"/>
      <c r="Q5" s="113"/>
      <c r="R5" s="139" t="s">
        <v>223</v>
      </c>
      <c r="S5" s="112"/>
      <c r="T5" s="113"/>
      <c r="V5" s="141"/>
      <c r="W5" s="142"/>
    </row>
    <row r="6" spans="1:23" ht="79.5" customHeight="1" x14ac:dyDescent="0.3">
      <c r="A6" s="54">
        <v>2</v>
      </c>
      <c r="B6" s="55" t="s">
        <v>224</v>
      </c>
      <c r="C6" s="56" t="s">
        <v>225</v>
      </c>
      <c r="D6" s="56" t="s">
        <v>226</v>
      </c>
      <c r="E6" s="57" t="s">
        <v>227</v>
      </c>
      <c r="F6" s="143" t="s">
        <v>228</v>
      </c>
      <c r="G6" s="112"/>
      <c r="H6" s="112"/>
      <c r="I6" s="113"/>
      <c r="K6" s="146"/>
      <c r="L6" s="58" t="s">
        <v>213</v>
      </c>
      <c r="M6" s="148" t="s">
        <v>222</v>
      </c>
      <c r="N6" s="113"/>
      <c r="O6" s="139" t="s">
        <v>223</v>
      </c>
      <c r="P6" s="112"/>
      <c r="Q6" s="113"/>
      <c r="R6" s="140" t="s">
        <v>229</v>
      </c>
      <c r="S6" s="112"/>
      <c r="T6" s="113"/>
      <c r="V6" s="141"/>
      <c r="W6" s="142"/>
    </row>
    <row r="7" spans="1:23" ht="79.5" customHeight="1" x14ac:dyDescent="0.3">
      <c r="A7" s="54">
        <v>3</v>
      </c>
      <c r="B7" s="55" t="s">
        <v>230</v>
      </c>
      <c r="C7" s="56" t="s">
        <v>231</v>
      </c>
      <c r="D7" s="56" t="s">
        <v>232</v>
      </c>
      <c r="E7" s="57" t="s">
        <v>233</v>
      </c>
      <c r="F7" s="143" t="s">
        <v>234</v>
      </c>
      <c r="G7" s="112"/>
      <c r="H7" s="112"/>
      <c r="I7" s="113"/>
      <c r="K7" s="147"/>
      <c r="L7" s="58" t="s">
        <v>214</v>
      </c>
      <c r="M7" s="139" t="s">
        <v>223</v>
      </c>
      <c r="N7" s="113"/>
      <c r="O7" s="140" t="s">
        <v>229</v>
      </c>
      <c r="P7" s="112"/>
      <c r="Q7" s="113"/>
      <c r="R7" s="144" t="s">
        <v>235</v>
      </c>
      <c r="S7" s="112"/>
      <c r="T7" s="113"/>
      <c r="V7" s="141"/>
      <c r="W7" s="142"/>
    </row>
    <row r="10" spans="1:23" ht="14.4" x14ac:dyDescent="0.3">
      <c r="K10" s="151" t="s">
        <v>236</v>
      </c>
      <c r="L10" s="150"/>
      <c r="M10" s="119"/>
      <c r="N10" s="151" t="s">
        <v>237</v>
      </c>
      <c r="O10" s="150"/>
      <c r="P10" s="150"/>
      <c r="Q10" s="150"/>
      <c r="R10" s="150"/>
      <c r="S10" s="150"/>
      <c r="T10" s="119"/>
    </row>
    <row r="11" spans="1:23" ht="14.4" x14ac:dyDescent="0.3">
      <c r="K11" s="120"/>
      <c r="L11" s="142"/>
      <c r="M11" s="121"/>
      <c r="N11" s="120"/>
      <c r="O11" s="142"/>
      <c r="P11" s="142"/>
      <c r="Q11" s="142"/>
      <c r="R11" s="142"/>
      <c r="S11" s="142"/>
      <c r="T11" s="121"/>
    </row>
    <row r="12" spans="1:23" ht="14.4" x14ac:dyDescent="0.3">
      <c r="K12" s="122"/>
      <c r="L12" s="130"/>
      <c r="M12" s="123"/>
      <c r="N12" s="122"/>
      <c r="O12" s="130"/>
      <c r="P12" s="130"/>
      <c r="Q12" s="130"/>
      <c r="R12" s="130"/>
      <c r="S12" s="130"/>
      <c r="T12" s="123"/>
    </row>
    <row r="13" spans="1:23" ht="14.4" x14ac:dyDescent="0.3">
      <c r="K13" s="152" t="s">
        <v>238</v>
      </c>
      <c r="L13" s="119"/>
      <c r="M13" s="153"/>
      <c r="N13" s="149" t="s">
        <v>239</v>
      </c>
      <c r="O13" s="150"/>
      <c r="P13" s="150"/>
      <c r="Q13" s="150"/>
      <c r="R13" s="150"/>
      <c r="S13" s="150"/>
      <c r="T13" s="119"/>
    </row>
    <row r="14" spans="1:23" ht="14.4" x14ac:dyDescent="0.3">
      <c r="K14" s="120"/>
      <c r="L14" s="121"/>
      <c r="M14" s="95"/>
      <c r="N14" s="120"/>
      <c r="O14" s="142"/>
      <c r="P14" s="142"/>
      <c r="Q14" s="142"/>
      <c r="R14" s="142"/>
      <c r="S14" s="142"/>
      <c r="T14" s="121"/>
    </row>
    <row r="15" spans="1:23" ht="14.4" x14ac:dyDescent="0.3">
      <c r="K15" s="122"/>
      <c r="L15" s="123"/>
      <c r="M15" s="96"/>
      <c r="N15" s="122"/>
      <c r="O15" s="130"/>
      <c r="P15" s="130"/>
      <c r="Q15" s="130"/>
      <c r="R15" s="130"/>
      <c r="S15" s="130"/>
      <c r="T15" s="123"/>
    </row>
    <row r="16" spans="1:23" ht="14.4" x14ac:dyDescent="0.3">
      <c r="K16" s="152" t="s">
        <v>240</v>
      </c>
      <c r="L16" s="119"/>
      <c r="M16" s="154"/>
      <c r="N16" s="149" t="s">
        <v>241</v>
      </c>
      <c r="O16" s="150"/>
      <c r="P16" s="150"/>
      <c r="Q16" s="150"/>
      <c r="R16" s="150"/>
      <c r="S16" s="150"/>
      <c r="T16" s="119"/>
    </row>
    <row r="17" spans="11:20" ht="14.4" x14ac:dyDescent="0.3">
      <c r="K17" s="120"/>
      <c r="L17" s="121"/>
      <c r="M17" s="95"/>
      <c r="N17" s="120"/>
      <c r="O17" s="142"/>
      <c r="P17" s="142"/>
      <c r="Q17" s="142"/>
      <c r="R17" s="142"/>
      <c r="S17" s="142"/>
      <c r="T17" s="121"/>
    </row>
    <row r="18" spans="11:20" ht="14.4" x14ac:dyDescent="0.3">
      <c r="K18" s="122"/>
      <c r="L18" s="123"/>
      <c r="M18" s="96"/>
      <c r="N18" s="122"/>
      <c r="O18" s="130"/>
      <c r="P18" s="130"/>
      <c r="Q18" s="130"/>
      <c r="R18" s="130"/>
      <c r="S18" s="130"/>
      <c r="T18" s="123"/>
    </row>
    <row r="19" spans="11:20" ht="14.4" x14ac:dyDescent="0.3">
      <c r="K19" s="152" t="s">
        <v>242</v>
      </c>
      <c r="L19" s="119"/>
      <c r="M19" s="155"/>
      <c r="N19" s="149" t="s">
        <v>243</v>
      </c>
      <c r="O19" s="150"/>
      <c r="P19" s="150"/>
      <c r="Q19" s="150"/>
      <c r="R19" s="150"/>
      <c r="S19" s="150"/>
      <c r="T19" s="119"/>
    </row>
    <row r="20" spans="11:20" ht="14.4" x14ac:dyDescent="0.3">
      <c r="K20" s="120"/>
      <c r="L20" s="121"/>
      <c r="M20" s="95"/>
      <c r="N20" s="120"/>
      <c r="O20" s="142"/>
      <c r="P20" s="142"/>
      <c r="Q20" s="142"/>
      <c r="R20" s="142"/>
      <c r="S20" s="142"/>
      <c r="T20" s="121"/>
    </row>
    <row r="21" spans="11:20" ht="15.75" customHeight="1" x14ac:dyDescent="0.3">
      <c r="K21" s="122"/>
      <c r="L21" s="123"/>
      <c r="M21" s="96"/>
      <c r="N21" s="122"/>
      <c r="O21" s="130"/>
      <c r="P21" s="130"/>
      <c r="Q21" s="130"/>
      <c r="R21" s="130"/>
      <c r="S21" s="130"/>
      <c r="T21" s="123"/>
    </row>
    <row r="22" spans="11:20" ht="15.75" customHeight="1" x14ac:dyDescent="0.3">
      <c r="K22" s="152" t="s">
        <v>244</v>
      </c>
      <c r="L22" s="119"/>
      <c r="M22" s="156"/>
      <c r="N22" s="149" t="s">
        <v>245</v>
      </c>
      <c r="O22" s="150"/>
      <c r="P22" s="150"/>
      <c r="Q22" s="150"/>
      <c r="R22" s="150"/>
      <c r="S22" s="150"/>
      <c r="T22" s="119"/>
    </row>
    <row r="23" spans="11:20" ht="15.75" customHeight="1" x14ac:dyDescent="0.3">
      <c r="K23" s="120"/>
      <c r="L23" s="121"/>
      <c r="M23" s="95"/>
      <c r="N23" s="120"/>
      <c r="O23" s="142"/>
      <c r="P23" s="142"/>
      <c r="Q23" s="142"/>
      <c r="R23" s="142"/>
      <c r="S23" s="142"/>
      <c r="T23" s="121"/>
    </row>
    <row r="24" spans="11:20" ht="15.75" customHeight="1" x14ac:dyDescent="0.3">
      <c r="K24" s="122"/>
      <c r="L24" s="123"/>
      <c r="M24" s="96"/>
      <c r="N24" s="122"/>
      <c r="O24" s="130"/>
      <c r="P24" s="130"/>
      <c r="Q24" s="130"/>
      <c r="R24" s="130"/>
      <c r="S24" s="130"/>
      <c r="T24" s="123"/>
    </row>
    <row r="25" spans="11:20" ht="15.75" customHeight="1" x14ac:dyDescent="0.3"/>
    <row r="26" spans="11:20" ht="15.75" customHeight="1" x14ac:dyDescent="0.3"/>
    <row r="27" spans="11:20" ht="15.75" customHeight="1" x14ac:dyDescent="0.3"/>
    <row r="28" spans="11:20" ht="15.75" customHeight="1" x14ac:dyDescent="0.3"/>
    <row r="29" spans="11:20" ht="15.75" customHeight="1" x14ac:dyDescent="0.3"/>
    <row r="30" spans="11:20" ht="15.75" customHeight="1" x14ac:dyDescent="0.3"/>
    <row r="31" spans="11:20" ht="15.75" customHeight="1" x14ac:dyDescent="0.3"/>
    <row r="32" spans="1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9"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  <mergeCell ref="K16:L18"/>
    <mergeCell ref="K19:L21"/>
    <mergeCell ref="M19:M21"/>
    <mergeCell ref="K22:L24"/>
    <mergeCell ref="M22:M2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K5:K7"/>
    <mergeCell ref="M5:N5"/>
    <mergeCell ref="O5:Q5"/>
    <mergeCell ref="R5:T5"/>
    <mergeCell ref="M6:N6"/>
    <mergeCell ref="A2:I2"/>
    <mergeCell ref="L2:T3"/>
    <mergeCell ref="A3:A4"/>
    <mergeCell ref="B3:E3"/>
    <mergeCell ref="F3:I3"/>
    <mergeCell ref="F4:I4"/>
    <mergeCell ref="L4:N4"/>
    <mergeCell ref="O4:Q4"/>
    <mergeCell ref="R4:T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MATRIZ IPERC</vt:lpstr>
      <vt:lpstr>ADMINISTRATIV</vt:lpstr>
      <vt:lpstr>MANTENIMIENTO</vt:lpstr>
      <vt:lpstr>CORTE</vt:lpstr>
      <vt:lpstr>ENSAMBLE-DESPACHO</vt:lpstr>
      <vt:lpstr>METODO EVALUACION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User</cp:lastModifiedBy>
  <dcterms:created xsi:type="dcterms:W3CDTF">2015-01-18T21:52:13Z</dcterms:created>
  <dcterms:modified xsi:type="dcterms:W3CDTF">2024-09-11T20:03:38Z</dcterms:modified>
</cp:coreProperties>
</file>